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0" yWindow="390" windowWidth="17370" windowHeight="8730" activeTab="1"/>
  </bookViews>
  <sheets>
    <sheet name="Name" sheetId="2" r:id="rId1"/>
    <sheet name="Iron Steel" sheetId="57" r:id="rId2"/>
    <sheet name="Building Material" sheetId="58" r:id="rId3"/>
    <sheet name="Coal" sheetId="59" r:id="rId4"/>
    <sheet name="Airlines" sheetId="60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A1" i="57" l="1"/>
  <c r="A1" i="59"/>
  <c r="A1" i="60"/>
  <c r="A1" i="58"/>
</calcChain>
</file>

<file path=xl/sharedStrings.xml><?xml version="1.0" encoding="utf-8"?>
<sst xmlns="http://schemas.openxmlformats.org/spreadsheetml/2006/main" count="521" uniqueCount="438">
  <si>
    <t>Iron Steel</t>
  </si>
  <si>
    <t>Building Material</t>
  </si>
  <si>
    <t>Coal</t>
  </si>
  <si>
    <t>Airlines</t>
  </si>
  <si>
    <t>Short Name</t>
  </si>
  <si>
    <t>Market Cap</t>
  </si>
  <si>
    <t>Price:D-1</t>
  </si>
  <si>
    <t>P/E</t>
  </si>
  <si>
    <t>Total Return YTD</t>
  </si>
  <si>
    <t>Revenue T12M</t>
  </si>
  <si>
    <t>5401 JP Equity</t>
  </si>
  <si>
    <t>NSSMC</t>
  </si>
  <si>
    <t>005490 KS Equity</t>
  </si>
  <si>
    <t>POSCO</t>
  </si>
  <si>
    <t>FMG AU Equity</t>
  </si>
  <si>
    <t>FORTESCUE METALS</t>
  </si>
  <si>
    <t>600019 CH Equity</t>
  </si>
  <si>
    <t>BAOSHAN IRON &amp;-A</t>
  </si>
  <si>
    <t>600010 CH Equity</t>
  </si>
  <si>
    <t>INNER MONGOLIA-A</t>
  </si>
  <si>
    <t>656 HK Equity</t>
  </si>
  <si>
    <t>FOSUN INTL</t>
  </si>
  <si>
    <t>2002 TT Equity</t>
  </si>
  <si>
    <t>CHINA STEEL CORP</t>
  </si>
  <si>
    <t>5411 JP Equity</t>
  </si>
  <si>
    <t>JFE HOLDINGS INC</t>
  </si>
  <si>
    <t>004020 KS Equity</t>
  </si>
  <si>
    <t>HYUNDAI STEEL</t>
  </si>
  <si>
    <t>000898 CH Equity</t>
  </si>
  <si>
    <t>ANGANG STEEL-A</t>
  </si>
  <si>
    <t>5486 JP Equity</t>
  </si>
  <si>
    <t>HITACHI METALS</t>
  </si>
  <si>
    <t>000709 CH Equity</t>
  </si>
  <si>
    <t>HESTEEL CO LTD-A</t>
  </si>
  <si>
    <t>000959 CH Equity</t>
  </si>
  <si>
    <t>BEIJING SHOUG-A</t>
  </si>
  <si>
    <t>BSL AU Equity</t>
  </si>
  <si>
    <t>BLUESCOPE STEEL</t>
  </si>
  <si>
    <t>000825 CH Equity</t>
  </si>
  <si>
    <t>SHANXI TAIGANG-A</t>
  </si>
  <si>
    <t>600808 CH Equity</t>
  </si>
  <si>
    <t>MAANSHAN IRON-A</t>
  </si>
  <si>
    <t>5406 JP Equity</t>
  </si>
  <si>
    <t>KOBE STEEL LTD</t>
  </si>
  <si>
    <t>601969 CH Equity</t>
  </si>
  <si>
    <t>HAINAN MINING -A</t>
  </si>
  <si>
    <t>600022 CH Equity</t>
  </si>
  <si>
    <t>SHANDONG IRON -A</t>
  </si>
  <si>
    <t>600126 CH Equity</t>
  </si>
  <si>
    <t>HANGZHOU IRON-A</t>
  </si>
  <si>
    <t>600687 CH Equity</t>
  </si>
  <si>
    <t>GANSU GANGTAI-A</t>
  </si>
  <si>
    <t>000778 CH Equity</t>
  </si>
  <si>
    <t>XINXING DUCTIL-A</t>
  </si>
  <si>
    <t>600307 CH Equity</t>
  </si>
  <si>
    <t>GANSU JIU STEE-A</t>
  </si>
  <si>
    <t>000629 CH Equity</t>
  </si>
  <si>
    <t>PANGANG GROUP -A</t>
  </si>
  <si>
    <t>5463 JP Equity</t>
  </si>
  <si>
    <t>MARUICHI STL TUB</t>
  </si>
  <si>
    <t>002110 CH Equity</t>
  </si>
  <si>
    <t>SANSTEEL MINGU-A</t>
  </si>
  <si>
    <t>200761 CH Equity</t>
  </si>
  <si>
    <t>BENGANG STEEL-B</t>
  </si>
  <si>
    <t>000932 CH Equity</t>
  </si>
  <si>
    <t>HUNAN VALIN ST-A</t>
  </si>
  <si>
    <t>600282 CH Equity</t>
  </si>
  <si>
    <t>NANJING IRON-A</t>
  </si>
  <si>
    <t>5471 JP Equity</t>
  </si>
  <si>
    <t>DAIDO STEEL CO</t>
  </si>
  <si>
    <t>000717 CH Equity</t>
  </si>
  <si>
    <t>SGIS SONGSHAN -A</t>
  </si>
  <si>
    <t>5444 JP Equity</t>
  </si>
  <si>
    <t>YAMATO KOGYO</t>
  </si>
  <si>
    <t>601003 CH Equity</t>
  </si>
  <si>
    <t>LIUZHOU IRON-A</t>
  </si>
  <si>
    <t>002647 CH Equity</t>
  </si>
  <si>
    <t>ZHEJIANG HONGL-A</t>
  </si>
  <si>
    <t>SGM AU Equity</t>
  </si>
  <si>
    <t>SIMS METAL MANAG</t>
  </si>
  <si>
    <t>600782 CH Equity</t>
  </si>
  <si>
    <t>XINYU IRON &amp; S-A</t>
  </si>
  <si>
    <t>002445 CH Equity</t>
  </si>
  <si>
    <t>ZHONGNAN RED C-A</t>
  </si>
  <si>
    <t>600894 CH Equity</t>
  </si>
  <si>
    <t>GUANGZHOU GUAN-A</t>
  </si>
  <si>
    <t>000926 CH Equity</t>
  </si>
  <si>
    <t>HUBEI FUXING-A</t>
  </si>
  <si>
    <t>002418 CH Equity</t>
  </si>
  <si>
    <t>ZHE JIANG KANG-A</t>
  </si>
  <si>
    <t>002756 CH Equity</t>
  </si>
  <si>
    <t>YONGXING SPECI-A</t>
  </si>
  <si>
    <t>600165 CH Equity</t>
  </si>
  <si>
    <t>NINGXIA XINRI -A</t>
  </si>
  <si>
    <t>5413 JP Equity</t>
  </si>
  <si>
    <t>NISSHIN STEEL CO</t>
  </si>
  <si>
    <t>5423 JP Equity</t>
  </si>
  <si>
    <t>TOKYO STEEL MFG</t>
  </si>
  <si>
    <t>600399 CH Equity</t>
  </si>
  <si>
    <t>FUSHUN SPECIAL-A</t>
  </si>
  <si>
    <t>600231 CH Equity</t>
  </si>
  <si>
    <t>LINGYUAN IRON-A</t>
  </si>
  <si>
    <t>9810 JP Equity</t>
  </si>
  <si>
    <t>NIPPON &amp; SUMIKIN</t>
  </si>
  <si>
    <t>600569 CH Equity</t>
  </si>
  <si>
    <t>ANYANG IRON -A</t>
  </si>
  <si>
    <t>002318 CH Equity</t>
  </si>
  <si>
    <t>ZHEJIANG JIULI-A</t>
  </si>
  <si>
    <t>002132 CH Equity</t>
  </si>
  <si>
    <t>HENAN HENGXING-A</t>
  </si>
  <si>
    <t>1053 HK Equity</t>
  </si>
  <si>
    <t>CHONGQING IRON-H</t>
  </si>
  <si>
    <t>601028 CH Equity</t>
  </si>
  <si>
    <t>JIANGSU YULONG-A</t>
  </si>
  <si>
    <t>5451 JP Equity</t>
  </si>
  <si>
    <t>YODOGAWA STEEL</t>
  </si>
  <si>
    <t>KRAS IJ Equity</t>
  </si>
  <si>
    <t>KRAKATAU STEEL</t>
  </si>
  <si>
    <t>001230 KS Equity</t>
  </si>
  <si>
    <t>DONGKUK STEEL</t>
  </si>
  <si>
    <t>Market Cap#1</t>
  </si>
  <si>
    <t>SCC TB Equity</t>
  </si>
  <si>
    <t>SIAM CEMENT PCL</t>
  </si>
  <si>
    <t>914 HK Equity</t>
  </si>
  <si>
    <t>ANHUI CONCH-H</t>
  </si>
  <si>
    <t>600340 CH Equity</t>
  </si>
  <si>
    <t>CHINA FORTUNE-A</t>
  </si>
  <si>
    <t>5201 JP Equity</t>
  </si>
  <si>
    <t>ASAHI GLASS CO</t>
  </si>
  <si>
    <t>5938 JP Equity</t>
  </si>
  <si>
    <t>LIXIL GROUP CORP</t>
  </si>
  <si>
    <t>2009 HK Equity</t>
  </si>
  <si>
    <t>BBMG CORP-H</t>
  </si>
  <si>
    <t>5332 JP Equity</t>
  </si>
  <si>
    <t>TOTO LTD</t>
  </si>
  <si>
    <t>JHX AU Equity</t>
  </si>
  <si>
    <t>JAMES HARDIE-CDI</t>
  </si>
  <si>
    <t>002468 CH Equity</t>
  </si>
  <si>
    <t>STO EXPRESS CO-A</t>
  </si>
  <si>
    <t>BLD AU Equity</t>
  </si>
  <si>
    <t>BORAL LTD</t>
  </si>
  <si>
    <t>FBU NZ Equity</t>
  </si>
  <si>
    <t>FLETCHER BLDG</t>
  </si>
  <si>
    <t>5233 JP Equity</t>
  </si>
  <si>
    <t>TAIHEIYO CEMENT</t>
  </si>
  <si>
    <t>1101 TT Equity</t>
  </si>
  <si>
    <t>TAIWAN CEMENT</t>
  </si>
  <si>
    <t>INTP IJ Equity</t>
  </si>
  <si>
    <t>INDOCEMENT TUNGG</t>
  </si>
  <si>
    <t>SMGR IJ Equity</t>
  </si>
  <si>
    <t>SEMEN INDONESIA</t>
  </si>
  <si>
    <t>300156 CH Equity</t>
  </si>
  <si>
    <t>SHENWU ENVIRON-A</t>
  </si>
  <si>
    <t>3323 HK Equity</t>
  </si>
  <si>
    <t>CHINA NATL BDG-H</t>
  </si>
  <si>
    <t>1102 TT Equity</t>
  </si>
  <si>
    <t>ASIA CEMENT CORP</t>
  </si>
  <si>
    <t>1313 HK Equity</t>
  </si>
  <si>
    <t>CHINA RES CEMENT</t>
  </si>
  <si>
    <t>002380 KS Equity</t>
  </si>
  <si>
    <t>KCC CORP</t>
  </si>
  <si>
    <t>002271 CH Equity</t>
  </si>
  <si>
    <t>BEIJING ORIENT-A</t>
  </si>
  <si>
    <t>200012 CH Equity</t>
  </si>
  <si>
    <t>CSG HOLDING CO-B</t>
  </si>
  <si>
    <t>N.A.</t>
  </si>
  <si>
    <t>000786 CH Equity</t>
  </si>
  <si>
    <t>BEIJING NEW BU-A</t>
  </si>
  <si>
    <t>691 HK Equity</t>
  </si>
  <si>
    <t>CHINA SHANSHUI</t>
  </si>
  <si>
    <t>000401 CH Equity</t>
  </si>
  <si>
    <t>TANGSHAN JIDON-A</t>
  </si>
  <si>
    <t>600291 CH Equity</t>
  </si>
  <si>
    <t>XISHUI STRONG-A</t>
  </si>
  <si>
    <t>002354 CH Equity</t>
  </si>
  <si>
    <t>DALIAN KEMIAN-A</t>
  </si>
  <si>
    <t>ABC AU Equity</t>
  </si>
  <si>
    <t>ADELAIDE BRI LTD</t>
  </si>
  <si>
    <t>002346 CH Equity</t>
  </si>
  <si>
    <t>SHANGHAI ZHEZH-A</t>
  </si>
  <si>
    <t>000935 CH Equity</t>
  </si>
  <si>
    <t>SICHUAN SHUANG-A</t>
  </si>
  <si>
    <t>600885 CH Equity</t>
  </si>
  <si>
    <t>HONGFA TECHNOL-A</t>
  </si>
  <si>
    <t>5929 JP Equity</t>
  </si>
  <si>
    <t>SANWA HOLDINGS</t>
  </si>
  <si>
    <t>600881 CH Equity</t>
  </si>
  <si>
    <t>JILIN YATAI GR-A</t>
  </si>
  <si>
    <t>HLCM PM Equity</t>
  </si>
  <si>
    <t>HOLCIM PHILIPPIN</t>
  </si>
  <si>
    <t>000791 CH Equity</t>
  </si>
  <si>
    <t>GEPIC ENERGY D-A</t>
  </si>
  <si>
    <t>002610 CH Equity</t>
  </si>
  <si>
    <t>JIANGSU AKCOME-A</t>
  </si>
  <si>
    <t>600293 CH Equity</t>
  </si>
  <si>
    <t>HUBEI NEW BLDG-A</t>
  </si>
  <si>
    <t>000885 CH Equity</t>
  </si>
  <si>
    <t>HENAN TONGLI C-A</t>
  </si>
  <si>
    <t>002247 CH Equity</t>
  </si>
  <si>
    <t>ZHEJIANG DILON-A</t>
  </si>
  <si>
    <t>002619 CH Equity</t>
  </si>
  <si>
    <t>ZHEJIANG DRAGO-A</t>
  </si>
  <si>
    <t>000592 CH Equity</t>
  </si>
  <si>
    <t>ZHONGFU STRAIT-A</t>
  </si>
  <si>
    <t>002372 CH Equity</t>
  </si>
  <si>
    <t>ZHEJIANG WEIXI-A</t>
  </si>
  <si>
    <t>DLX AU Equity</t>
  </si>
  <si>
    <t>DULUXGROUP LTD</t>
  </si>
  <si>
    <t>GLOBAL TB Equity</t>
  </si>
  <si>
    <t>SIAM GLOBAL HOUS</t>
  </si>
  <si>
    <t>SCCC TB Equity</t>
  </si>
  <si>
    <t>SIAM CITY CEMENT</t>
  </si>
  <si>
    <t>002302 CH Equity</t>
  </si>
  <si>
    <t>CHINA WEST CON-A</t>
  </si>
  <si>
    <t>601886 CH Equity</t>
  </si>
  <si>
    <t>JANGHO GROUP C-A</t>
  </si>
  <si>
    <t>4206 JP Equity</t>
  </si>
  <si>
    <t>AICA KOGYO CO</t>
  </si>
  <si>
    <t>900933 CH Equity</t>
  </si>
  <si>
    <t>HUAXIN CEMENT-B</t>
  </si>
  <si>
    <t>002631 CH Equity</t>
  </si>
  <si>
    <t>DER FUTURE SCI-A</t>
  </si>
  <si>
    <t>601636 CH Equity</t>
  </si>
  <si>
    <t>ZHUZHOU KIBING-A</t>
  </si>
  <si>
    <t>5232 JP Equity</t>
  </si>
  <si>
    <t>SUMITOMO OSAKA</t>
  </si>
  <si>
    <t>600217 CH Equity</t>
  </si>
  <si>
    <t>CHINA RESOURCE-A</t>
  </si>
  <si>
    <t>002047 CH Equity</t>
  </si>
  <si>
    <t>SHENZHEN BAUIN-A</t>
  </si>
  <si>
    <t>000877 CH Equity</t>
  </si>
  <si>
    <t>XINJIANG TIAN-A</t>
  </si>
  <si>
    <t>SMBR IJ Equity</t>
  </si>
  <si>
    <t>SEMEN BATURAJA P</t>
  </si>
  <si>
    <t>CSR AU Equity</t>
  </si>
  <si>
    <t>CSR LTD</t>
  </si>
  <si>
    <t>000673 CH Equity</t>
  </si>
  <si>
    <t>CONTEMPORARY E-A</t>
  </si>
  <si>
    <t>000910 CH Equity</t>
  </si>
  <si>
    <t>DARE POWER DE-A</t>
  </si>
  <si>
    <t>600425 CH Equity</t>
  </si>
  <si>
    <t>XINJIANG QINGS-A</t>
  </si>
  <si>
    <t>BKW AU Equity</t>
  </si>
  <si>
    <t>BRICKWORKS LTD</t>
  </si>
  <si>
    <t>4628 JP Equity</t>
  </si>
  <si>
    <t>SK KAKEN CO LTD</t>
  </si>
  <si>
    <t>002043 CH Equity</t>
  </si>
  <si>
    <t>DEHUA TB NEW-A</t>
  </si>
  <si>
    <t>1802 TT Equity</t>
  </si>
  <si>
    <t>TAIWAN GLASS IND</t>
  </si>
  <si>
    <t>002791 CH Equity</t>
  </si>
  <si>
    <t>GUANGDONG KINL-A</t>
  </si>
  <si>
    <t>002233 CH Equity</t>
  </si>
  <si>
    <t>GUANGDONG TAPA-A</t>
  </si>
  <si>
    <t>TPIPL TB Equity</t>
  </si>
  <si>
    <t>TPI POLENE PCL</t>
  </si>
  <si>
    <t>603098 CH Equity</t>
  </si>
  <si>
    <t>CENTER INTERNA-A</t>
  </si>
  <si>
    <t>002630 CH Equity</t>
  </si>
  <si>
    <t>CHINA WESTERN-A</t>
  </si>
  <si>
    <t>5393 JP Equity</t>
  </si>
  <si>
    <t>NICHIAS CORP</t>
  </si>
  <si>
    <t>BRPT IJ Equity</t>
  </si>
  <si>
    <t>BARITO PACIFIC</t>
  </si>
  <si>
    <t>600321 CH Equity</t>
  </si>
  <si>
    <t>SICHUAN GUODON-A</t>
  </si>
  <si>
    <t>002163 CH Equity</t>
  </si>
  <si>
    <t>AVIC SANXIN-A</t>
  </si>
  <si>
    <t>200055 CH Equity</t>
  </si>
  <si>
    <t>CHINA FANGDA-B</t>
  </si>
  <si>
    <t>LMC MK Equity</t>
  </si>
  <si>
    <t>LAFARGE MALAYSIA</t>
  </si>
  <si>
    <t>002333 CH Equity</t>
  </si>
  <si>
    <t>SUZHOU LOPSKIN-A</t>
  </si>
  <si>
    <t>002596 CH Equity</t>
  </si>
  <si>
    <t>HAINAN RUIZE N-A</t>
  </si>
  <si>
    <t>1136 HK Equity</t>
  </si>
  <si>
    <t>TCC INTL HLDGS</t>
  </si>
  <si>
    <t>003410 KS Equity</t>
  </si>
  <si>
    <t>SSANGYONG CEM</t>
  </si>
  <si>
    <t>900918 CH Equity</t>
  </si>
  <si>
    <t>SHANGHAI YAOH- B</t>
  </si>
  <si>
    <t>010780 KS Equity</t>
  </si>
  <si>
    <t>IS DONGSEO CO LT</t>
  </si>
  <si>
    <t>WSBP IJ Equity</t>
  </si>
  <si>
    <t>WASKITA BETON PR</t>
  </si>
  <si>
    <t>002259 CH Equity</t>
  </si>
  <si>
    <t>SICHUAN SHENGD-A</t>
  </si>
  <si>
    <t>RWC AU Equity</t>
  </si>
  <si>
    <t>RELIANCE WORLDWI</t>
  </si>
  <si>
    <t>TASCO TB Equity</t>
  </si>
  <si>
    <t>TIPCO ASPHALT</t>
  </si>
  <si>
    <t>SUPER TB Equity</t>
  </si>
  <si>
    <t>SUPERBLOCK PCL</t>
  </si>
  <si>
    <t>600720 CH Equity</t>
  </si>
  <si>
    <t>GANSU QILIAN-A</t>
  </si>
  <si>
    <t>600629 CH Equity</t>
  </si>
  <si>
    <t>ARCPLUS GROUP -A</t>
  </si>
  <si>
    <t>300196 CH Equity</t>
  </si>
  <si>
    <t>JIANGSU CHANGH-A</t>
  </si>
  <si>
    <t>601677 CH Equity</t>
  </si>
  <si>
    <t>HENAN MINGTAI -A</t>
  </si>
  <si>
    <t>7943 JP Equity</t>
  </si>
  <si>
    <t>NICHIHA CORP</t>
  </si>
  <si>
    <t>4044 JP Equity</t>
  </si>
  <si>
    <t>CENTRAL GLASS CO</t>
  </si>
  <si>
    <t>300198 CH Equity</t>
  </si>
  <si>
    <t>FUJIAN SUPERPI-A</t>
  </si>
  <si>
    <t>600586 CH Equity</t>
  </si>
  <si>
    <t>SHANDONG JINJI-A</t>
  </si>
  <si>
    <t>600318 CH Equity</t>
  </si>
  <si>
    <t>ANHUI XINLI FI-A</t>
  </si>
  <si>
    <t>601111 CH Equity</t>
  </si>
  <si>
    <t>AIR CHINA LTD-A</t>
  </si>
  <si>
    <t>670 HK Equity</t>
  </si>
  <si>
    <t>CHINA EAST AIR-H</t>
  </si>
  <si>
    <t>9201 JP Equity</t>
  </si>
  <si>
    <t>JAPAN AIRLINES C</t>
  </si>
  <si>
    <t>9202 JP Equity</t>
  </si>
  <si>
    <t>ANA HOLDINGS INC</t>
  </si>
  <si>
    <t>1055 HK Equity</t>
  </si>
  <si>
    <t>CHINA SOUTHERN-H</t>
  </si>
  <si>
    <t>900945 CH Equity</t>
  </si>
  <si>
    <t>HAINAN AIRLINE-B</t>
  </si>
  <si>
    <t>SIA SP Equity</t>
  </si>
  <si>
    <t>SINGAPORE AIRLIN</t>
  </si>
  <si>
    <t>293 HK Equity</t>
  </si>
  <si>
    <t>CATHAY PAC AIR</t>
  </si>
  <si>
    <t>QAN AU Equity</t>
  </si>
  <si>
    <t>QANTAS AIRWAYS</t>
  </si>
  <si>
    <t>603885 CH Equity</t>
  </si>
  <si>
    <t>JUNEYAO AIR-A</t>
  </si>
  <si>
    <t>601021 CH Equity</t>
  </si>
  <si>
    <t>SPRING AIRLINE-A</t>
  </si>
  <si>
    <t>PAL PM Equity</t>
  </si>
  <si>
    <t>PAL HOLDINGS INC</t>
  </si>
  <si>
    <t>2618 TT Equity</t>
  </si>
  <si>
    <t>EVA AIRWAYS</t>
  </si>
  <si>
    <t>AIRA MK Equity</t>
  </si>
  <si>
    <t>AIRASIA BHD</t>
  </si>
  <si>
    <t>003490 KS Equity</t>
  </si>
  <si>
    <t>KOREAN AIR LINES</t>
  </si>
  <si>
    <t>2610 TT Equity</t>
  </si>
  <si>
    <t>CHINA AIRLINES</t>
  </si>
  <si>
    <t>AIR NZ Equity</t>
  </si>
  <si>
    <t>AIR NEW ZEALAND</t>
  </si>
  <si>
    <t>THAI TB Equity</t>
  </si>
  <si>
    <t>THAI AIRWAYS INT</t>
  </si>
  <si>
    <t>BA TB Equity</t>
  </si>
  <si>
    <t>BANGKOK AIRWAYS</t>
  </si>
  <si>
    <t>VAH AU Equity</t>
  </si>
  <si>
    <t>VIRGIN AUSTRALIA</t>
  </si>
  <si>
    <t>CEB PM Equity</t>
  </si>
  <si>
    <t>CEBU AIR INC</t>
  </si>
  <si>
    <t>1088 HK Equity</t>
  </si>
  <si>
    <t>CHINA SHENHUA-H</t>
  </si>
  <si>
    <t>1898 HK Equity</t>
  </si>
  <si>
    <t>CHINA COAL ENE-H</t>
  </si>
  <si>
    <t>601225 CH Equity</t>
  </si>
  <si>
    <t>SHAANXI COAL I-A</t>
  </si>
  <si>
    <t>1171 HK Equity</t>
  </si>
  <si>
    <t>YANZHOU COAL-H</t>
  </si>
  <si>
    <t>000983 CH Equity</t>
  </si>
  <si>
    <t>SHANXI XISHAN-A</t>
  </si>
  <si>
    <t>ADRO IJ Equity</t>
  </si>
  <si>
    <t>ADARO ENERGY TBK</t>
  </si>
  <si>
    <t>601699 CH Equity</t>
  </si>
  <si>
    <t>SHANXI LU'AN -A</t>
  </si>
  <si>
    <t>000723 CH Equity</t>
  </si>
  <si>
    <t>SHANXI MEIJIN-A</t>
  </si>
  <si>
    <t>000937 CH Equity</t>
  </si>
  <si>
    <t>JIZHONG ENERGY-A</t>
  </si>
  <si>
    <t>DMC PM Equity</t>
  </si>
  <si>
    <t>DMCI HLDGS INC</t>
  </si>
  <si>
    <t>900948 CH Equity</t>
  </si>
  <si>
    <t>INNER MONGOLIA-B</t>
  </si>
  <si>
    <t>SOL AU Equity</t>
  </si>
  <si>
    <t>WASHINGTON H. SO</t>
  </si>
  <si>
    <t>SCC PM Equity</t>
  </si>
  <si>
    <t>SEMIRARA MINING</t>
  </si>
  <si>
    <t>BANPU TB Equity</t>
  </si>
  <si>
    <t>BANPU PUB CO LTD</t>
  </si>
  <si>
    <t>600348 CH Equity</t>
  </si>
  <si>
    <t>YANGQUAN COAL -A</t>
  </si>
  <si>
    <t>600179 CH Equity</t>
  </si>
  <si>
    <t>ANTONG HOLDING-A</t>
  </si>
  <si>
    <t>WHC AU Equity</t>
  </si>
  <si>
    <t>WHITEHAVEN COAL</t>
  </si>
  <si>
    <t>002128 CH Equity</t>
  </si>
  <si>
    <t>HUOLINHE COAL-A</t>
  </si>
  <si>
    <t>600395 CH Equity</t>
  </si>
  <si>
    <t>GUIZHOU PANJIA-A</t>
  </si>
  <si>
    <t>601666 CH Equity</t>
  </si>
  <si>
    <t>PINGDINGSHAN -A</t>
  </si>
  <si>
    <t>PTBA IJ Equity</t>
  </si>
  <si>
    <t>TAMBANG BATUBARA</t>
  </si>
  <si>
    <t>601918 CH Equity</t>
  </si>
  <si>
    <t>SDIC XINJI -A</t>
  </si>
  <si>
    <t>600381 CH Equity</t>
  </si>
  <si>
    <t>QINGHAI SPRING-A</t>
  </si>
  <si>
    <t>600997 CH Equity</t>
  </si>
  <si>
    <t>KAILUAN ENERGY-A</t>
  </si>
  <si>
    <t>601001 CH Equity</t>
  </si>
  <si>
    <t>DATONG COAL IN-A</t>
  </si>
  <si>
    <t>BYAN IJ Equity</t>
  </si>
  <si>
    <t>BAYAN RESOURCES</t>
  </si>
  <si>
    <t>600652 CH Equity</t>
  </si>
  <si>
    <t>SHANGHAI U9 GA-A</t>
  </si>
  <si>
    <t>601011 CH Equity</t>
  </si>
  <si>
    <t>BAOTAILONG NEW-A</t>
  </si>
  <si>
    <t>000552 CH Equity</t>
  </si>
  <si>
    <t>GANSU JINGYUAN-A</t>
  </si>
  <si>
    <t>600123 CH Equity</t>
  </si>
  <si>
    <t>SHANXI LANHUA-A</t>
  </si>
  <si>
    <t>601015 CH Equity</t>
  </si>
  <si>
    <t>SHAANXI HEIMAO-A</t>
  </si>
  <si>
    <t>ITMG IJ Equity</t>
  </si>
  <si>
    <t>INDO TAMBANGRAYA</t>
  </si>
  <si>
    <t>600546 CH Equity</t>
  </si>
  <si>
    <t>SHANXI COAL -A</t>
  </si>
  <si>
    <t>GEMS IJ Equity</t>
  </si>
  <si>
    <t>GOLDEN ENERGY MI</t>
  </si>
  <si>
    <t>000968 CH Equity</t>
  </si>
  <si>
    <t>TAIYUAN COAL G-A</t>
  </si>
  <si>
    <t>601101 CH Equity</t>
  </si>
  <si>
    <t>BEIJING HAOHUA-A</t>
  </si>
  <si>
    <t>600508 CH Equity</t>
  </si>
  <si>
    <t>SHANGHAI DATUN-A</t>
  </si>
  <si>
    <t>NHC AU Equity</t>
  </si>
  <si>
    <t>NEW HOPE CORP LT</t>
  </si>
  <si>
    <t>639 HK Equity</t>
  </si>
  <si>
    <t>SHOUGANG FUSHAN</t>
  </si>
  <si>
    <t>600971 CH Equity</t>
  </si>
  <si>
    <t>ANHUI HENGYUAN-A</t>
  </si>
  <si>
    <t>BUMI IJ Equity</t>
  </si>
  <si>
    <t>BUMI RESOURCES</t>
  </si>
  <si>
    <t>600691 CH Equity</t>
  </si>
  <si>
    <t>YANGMEI CHEMIC-A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</si>
</sst>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3">
    <xf numFmtId="0" fontId="0" fillId="0" borderId="0" xfId="0"/>
    <xf numFmtId="0" fontId="18" fillId="0" borderId="0" xfId="42" applyFont="1"/>
    <xf numFmtId="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ccyreader">
      <tp t="e">
        <v>#N/A</v>
        <stp/>
        <stp>#beqs</stp>
        <stp/>
        <stp>AxJ ICB Coal</stp>
        <stp>=BEQS("AxJ ICB Coal","cols=8;rows=43")</stp>
        <stp>'[AxJ ICB Sector Breakdown.xlsm]Coal'!$A$1</stp>
        <stp>cols=8;rows=43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A1" s="59"/>
      </tp>
    </main>
    <main first="bloomberg.ccyreader">
      <tp t="e">
        <v>#N/A</v>
        <stp/>
        <stp>#beqs</stp>
        <stp/>
        <stp>AxJ ICB Building Material</stp>
        <stp>=BEQS("AxJ ICB Building Material","cols=8;rows=96")</stp>
        <stp>'[AxJ ICB Sector Breakdown.xlsm]Building Material'!$A$1</stp>
        <stp>cols=8;rows=96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A1" s="58"/>
      </tp>
    </main>
    <main first="bloomberg.ccyreader">
      <tp t="e">
        <v>#N/A</v>
        <stp/>
        <stp>#set_refresh</stp>
        <tr r="A1" s="58"/>
        <tr r="A1" s="60"/>
        <tr r="A1" s="59"/>
        <tr r="A1" s="57"/>
      </tp>
    </main>
    <main first="bloomberg.ccyreader">
      <tp t="e">
        <v>#N/A</v>
        <stp/>
        <stp>#beqs</stp>
        <stp/>
        <stp>AxJ ICB Iron Steel</stp>
        <stp>=BEQS("AxJ ICB Iron Steel","cols=8;rows=56")</stp>
        <stp>'[AxJ ICB Sector Breakdown.xlsm]Iron Steel'!$A$1</stp>
        <stp>cols=8;rows=56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A1" s="57"/>
      </tp>
    </main>
    <main first="bloomberg.ccyreader">
      <tp t="e">
        <v>#N/A</v>
        <stp/>
        <stp>#beqs</stp>
        <stp/>
        <stp>AxJ ICB Airlines</stp>
        <stp>=BEQS("AxJ ICB Airlines","cols=8;rows=22")</stp>
        <stp>'[AxJ ICB Sector Breakdown.xlsm]Airlines'!$A$1</stp>
        <stp>cols=8;rows=22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A1" s="6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19050</xdr:rowOff>
        </xdr:from>
        <xdr:to>
          <xdr:col>6</xdr:col>
          <xdr:colOff>66675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</a:rPr>
                <a:t>Update Sector EQS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76200</xdr:rowOff>
        </xdr:from>
        <xdr:to>
          <xdr:col>6</xdr:col>
          <xdr:colOff>57150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</a:rPr>
                <a:t>Columns Fix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161925</xdr:rowOff>
        </xdr:from>
        <xdr:to>
          <xdr:col>6</xdr:col>
          <xdr:colOff>28575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</a:rPr>
                <a:t>Del all shts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utofit"/>
      <definedName name="DeleteAll"/>
      <definedName name="up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4"/>
  <sheetViews>
    <sheetView workbookViewId="0"/>
  </sheetViews>
  <sheetFormatPr defaultRowHeight="15" x14ac:dyDescent="0.25"/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update">
                <anchor moveWithCells="1" sizeWithCells="1">
                  <from>
                    <xdr:col>4</xdr:col>
                    <xdr:colOff>28575</xdr:colOff>
                    <xdr:row>0</xdr:row>
                    <xdr:rowOff>19050</xdr:rowOff>
                  </from>
                  <to>
                    <xdr:col>6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autofit">
                <anchor moveWithCells="1" sizeWithCells="1">
                  <from>
                    <xdr:col>4</xdr:col>
                    <xdr:colOff>28575</xdr:colOff>
                    <xdr:row>1</xdr:row>
                    <xdr:rowOff>76200</xdr:rowOff>
                  </from>
                  <to>
                    <xdr:col>6</xdr:col>
                    <xdr:colOff>57150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DeleteAll">
                <anchor moveWithCells="1" sizeWithCells="1">
                  <from>
                    <xdr:col>4</xdr:col>
                    <xdr:colOff>38100</xdr:colOff>
                    <xdr:row>2</xdr:row>
                    <xdr:rowOff>161925</xdr:rowOff>
                  </from>
                  <to>
                    <xdr:col>6</xdr:col>
                    <xdr:colOff>28575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6"/>
  <sheetViews>
    <sheetView tabSelected="1" workbookViewId="0">
      <selection activeCell="A2" sqref="A2"/>
    </sheetView>
  </sheetViews>
  <sheetFormatPr defaultRowHeight="15" x14ac:dyDescent="0.25"/>
  <cols>
    <col min="1" max="1" width="16" bestFit="1" customWidth="1"/>
    <col min="2" max="2" width="20.5703125" bestFit="1" customWidth="1"/>
    <col min="3" max="3" width="16.42578125" bestFit="1" customWidth="1"/>
    <col min="4" max="4" width="20.140625" bestFit="1" customWidth="1"/>
    <col min="5" max="5" width="10.140625" bestFit="1" customWidth="1"/>
    <col min="6" max="6" width="8.140625" bestFit="1" customWidth="1"/>
    <col min="7" max="7" width="15.7109375" bestFit="1" customWidth="1"/>
    <col min="8" max="8" width="20.140625" bestFit="1" customWidth="1"/>
  </cols>
  <sheetData>
    <row r="1" spans="1:8" x14ac:dyDescent="0.25">
      <c r="A1" t="str">
        <f>_xll.BEQS("AxJ ICB Iron Steel","cols=8;rows=56")</f>
        <v>Ticker</v>
      </c>
      <c r="B1" t="s">
        <v>4</v>
      </c>
      <c r="C1" t="s">
        <v>5</v>
      </c>
      <c r="D1" t="s">
        <v>120</v>
      </c>
      <c r="E1" t="s">
        <v>6</v>
      </c>
      <c r="F1" t="s">
        <v>7</v>
      </c>
      <c r="G1" t="s">
        <v>8</v>
      </c>
      <c r="H1" t="s">
        <v>9</v>
      </c>
    </row>
    <row r="2" spans="1:8" x14ac:dyDescent="0.25">
      <c r="A2" t="s">
        <v>10</v>
      </c>
      <c r="B2" t="s">
        <v>11</v>
      </c>
      <c r="C2" s="2">
        <v>23559477248</v>
      </c>
      <c r="D2" s="2">
        <v>2678005694464</v>
      </c>
      <c r="E2" s="2">
        <v>2818</v>
      </c>
      <c r="F2">
        <v>47.88</v>
      </c>
      <c r="G2">
        <v>8.09</v>
      </c>
      <c r="H2" s="2">
        <v>4523506073600</v>
      </c>
    </row>
    <row r="3" spans="1:8" x14ac:dyDescent="0.25">
      <c r="A3" t="s">
        <v>12</v>
      </c>
      <c r="B3" t="s">
        <v>13</v>
      </c>
      <c r="C3" s="2">
        <v>21631338496</v>
      </c>
      <c r="D3" s="2">
        <v>24804654579712</v>
      </c>
      <c r="E3" s="2">
        <v>284500</v>
      </c>
      <c r="F3">
        <v>17.13</v>
      </c>
      <c r="G3">
        <v>10.49</v>
      </c>
      <c r="H3" s="2">
        <v>53079655317504</v>
      </c>
    </row>
    <row r="4" spans="1:8" x14ac:dyDescent="0.25">
      <c r="A4" t="s">
        <v>14</v>
      </c>
      <c r="B4" t="s">
        <v>15</v>
      </c>
      <c r="C4" s="2">
        <v>16672388096</v>
      </c>
      <c r="D4" s="2">
        <v>21734309888</v>
      </c>
      <c r="E4">
        <v>6.98</v>
      </c>
      <c r="F4">
        <v>17.39</v>
      </c>
      <c r="G4">
        <v>18.510000000000002</v>
      </c>
      <c r="H4" s="2">
        <v>7083000064</v>
      </c>
    </row>
    <row r="5" spans="1:8" x14ac:dyDescent="0.25">
      <c r="A5" t="s">
        <v>16</v>
      </c>
      <c r="B5" t="s">
        <v>17</v>
      </c>
      <c r="C5" s="2">
        <v>16247288832</v>
      </c>
      <c r="D5" s="2">
        <v>111860957184</v>
      </c>
      <c r="E5">
        <v>6.8</v>
      </c>
      <c r="F5">
        <v>25.9</v>
      </c>
      <c r="G5">
        <v>7.09</v>
      </c>
      <c r="H5" s="2">
        <v>174800752640</v>
      </c>
    </row>
    <row r="6" spans="1:8" x14ac:dyDescent="0.25">
      <c r="A6" t="s">
        <v>18</v>
      </c>
      <c r="B6" t="s">
        <v>19</v>
      </c>
      <c r="C6" s="2">
        <v>14471648256</v>
      </c>
      <c r="D6" s="2">
        <v>99635855360</v>
      </c>
      <c r="E6">
        <v>3.1</v>
      </c>
      <c r="F6" t="s">
        <v>165</v>
      </c>
      <c r="G6">
        <v>11.11</v>
      </c>
      <c r="H6" s="2">
        <v>24905222656</v>
      </c>
    </row>
    <row r="7" spans="1:8" x14ac:dyDescent="0.25">
      <c r="A7" t="s">
        <v>20</v>
      </c>
      <c r="B7" t="s">
        <v>21</v>
      </c>
      <c r="C7" s="2">
        <v>13415328768</v>
      </c>
      <c r="D7" s="2">
        <v>104119050240</v>
      </c>
      <c r="E7">
        <v>12.32</v>
      </c>
      <c r="F7">
        <v>10.39</v>
      </c>
      <c r="G7">
        <v>12.2</v>
      </c>
      <c r="H7" s="2">
        <v>81562849280</v>
      </c>
    </row>
    <row r="8" spans="1:8" x14ac:dyDescent="0.25">
      <c r="A8" t="s">
        <v>22</v>
      </c>
      <c r="B8" t="s">
        <v>23</v>
      </c>
      <c r="C8" s="2">
        <v>13248099328</v>
      </c>
      <c r="D8" s="2">
        <v>408319655936</v>
      </c>
      <c r="E8">
        <v>25.95</v>
      </c>
      <c r="F8">
        <v>37.19</v>
      </c>
      <c r="G8">
        <v>5.27</v>
      </c>
      <c r="H8" s="2">
        <v>273878302720</v>
      </c>
    </row>
    <row r="9" spans="1:8" x14ac:dyDescent="0.25">
      <c r="A9" t="s">
        <v>24</v>
      </c>
      <c r="B9" t="s">
        <v>25</v>
      </c>
      <c r="C9" s="2">
        <v>11578491904</v>
      </c>
      <c r="D9" s="2">
        <v>1316127113216</v>
      </c>
      <c r="E9" s="2">
        <v>2142</v>
      </c>
      <c r="F9">
        <v>42.18</v>
      </c>
      <c r="G9">
        <v>22.4</v>
      </c>
      <c r="H9" s="2">
        <v>3195400028160</v>
      </c>
    </row>
    <row r="10" spans="1:8" x14ac:dyDescent="0.25">
      <c r="A10" t="s">
        <v>26</v>
      </c>
      <c r="B10" t="s">
        <v>27</v>
      </c>
      <c r="C10" s="2">
        <v>7413008384</v>
      </c>
      <c r="D10" s="2">
        <v>8500496302080</v>
      </c>
      <c r="E10" s="2">
        <v>63700</v>
      </c>
      <c r="F10">
        <v>8.74</v>
      </c>
      <c r="G10">
        <v>11.75</v>
      </c>
      <c r="H10" s="2">
        <v>16694469984256</v>
      </c>
    </row>
    <row r="11" spans="1:8" x14ac:dyDescent="0.25">
      <c r="A11" t="s">
        <v>30</v>
      </c>
      <c r="B11" t="s">
        <v>31</v>
      </c>
      <c r="C11" s="2">
        <v>6327726080</v>
      </c>
      <c r="D11" s="2">
        <v>719272607744</v>
      </c>
      <c r="E11" s="2">
        <v>1677</v>
      </c>
      <c r="F11">
        <v>14.5</v>
      </c>
      <c r="G11">
        <v>5.87</v>
      </c>
      <c r="H11" s="2">
        <v>911221981184</v>
      </c>
    </row>
    <row r="12" spans="1:8" x14ac:dyDescent="0.25">
      <c r="A12" t="s">
        <v>28</v>
      </c>
      <c r="B12" t="s">
        <v>29</v>
      </c>
      <c r="C12" s="2">
        <v>6177255424</v>
      </c>
      <c r="D12" s="2">
        <v>42529787904</v>
      </c>
      <c r="E12">
        <v>6.15</v>
      </c>
      <c r="F12" t="s">
        <v>165</v>
      </c>
      <c r="G12">
        <v>22.02</v>
      </c>
      <c r="H12" s="2">
        <v>48981999616</v>
      </c>
    </row>
    <row r="13" spans="1:8" x14ac:dyDescent="0.25">
      <c r="A13" t="s">
        <v>32</v>
      </c>
      <c r="B13" t="s">
        <v>33</v>
      </c>
      <c r="C13" s="2">
        <v>6169214976</v>
      </c>
      <c r="D13" s="2">
        <v>42474430464</v>
      </c>
      <c r="E13">
        <v>4.1100000000000003</v>
      </c>
      <c r="F13">
        <v>44.2</v>
      </c>
      <c r="G13">
        <v>23.05</v>
      </c>
      <c r="H13" s="2">
        <v>70869823488</v>
      </c>
    </row>
    <row r="14" spans="1:8" x14ac:dyDescent="0.25">
      <c r="A14" t="s">
        <v>36</v>
      </c>
      <c r="B14" t="s">
        <v>37</v>
      </c>
      <c r="C14" s="2">
        <v>5582161408</v>
      </c>
      <c r="D14" s="2">
        <v>7276967424</v>
      </c>
      <c r="E14">
        <v>12.68</v>
      </c>
      <c r="F14">
        <v>14.39</v>
      </c>
      <c r="G14">
        <v>36.64</v>
      </c>
      <c r="H14" s="2">
        <v>9956400128</v>
      </c>
    </row>
    <row r="15" spans="1:8" x14ac:dyDescent="0.25">
      <c r="A15" t="s">
        <v>34</v>
      </c>
      <c r="B15" t="s">
        <v>35</v>
      </c>
      <c r="C15" s="2">
        <v>5385499136</v>
      </c>
      <c r="D15" s="2">
        <v>37078622208</v>
      </c>
      <c r="E15">
        <v>7.28</v>
      </c>
      <c r="F15" t="s">
        <v>165</v>
      </c>
      <c r="G15">
        <v>9.9700000000000006</v>
      </c>
      <c r="H15" s="2">
        <v>33257467904</v>
      </c>
    </row>
    <row r="16" spans="1:8" x14ac:dyDescent="0.25">
      <c r="A16" t="s">
        <v>38</v>
      </c>
      <c r="B16" t="s">
        <v>39</v>
      </c>
      <c r="C16" s="2">
        <v>4293965824</v>
      </c>
      <c r="D16" s="2">
        <v>29563525120</v>
      </c>
      <c r="E16">
        <v>5.22</v>
      </c>
      <c r="F16" t="s">
        <v>165</v>
      </c>
      <c r="G16">
        <v>32.49</v>
      </c>
      <c r="H16" s="2">
        <v>55695800320</v>
      </c>
    </row>
    <row r="17" spans="1:8" x14ac:dyDescent="0.25">
      <c r="A17" t="s">
        <v>42</v>
      </c>
      <c r="B17" t="s">
        <v>43</v>
      </c>
      <c r="C17" s="2">
        <v>3651014656</v>
      </c>
      <c r="D17" s="2">
        <v>415010816000</v>
      </c>
      <c r="E17" s="2">
        <v>1139</v>
      </c>
      <c r="F17" t="s">
        <v>165</v>
      </c>
      <c r="G17">
        <v>1.97</v>
      </c>
      <c r="H17" s="2">
        <v>1686431006720</v>
      </c>
    </row>
    <row r="18" spans="1:8" x14ac:dyDescent="0.25">
      <c r="A18" t="s">
        <v>40</v>
      </c>
      <c r="B18" t="s">
        <v>41</v>
      </c>
      <c r="C18" s="2">
        <v>3520892416</v>
      </c>
      <c r="D18" s="2">
        <v>24240992256</v>
      </c>
      <c r="E18">
        <v>3.48</v>
      </c>
      <c r="F18" t="s">
        <v>165</v>
      </c>
      <c r="G18">
        <v>22.97</v>
      </c>
      <c r="H18" s="2">
        <v>42481969152</v>
      </c>
    </row>
    <row r="19" spans="1:8" x14ac:dyDescent="0.25">
      <c r="A19" t="s">
        <v>46</v>
      </c>
      <c r="B19" t="s">
        <v>47</v>
      </c>
      <c r="C19" s="2">
        <v>3412247040</v>
      </c>
      <c r="D19" s="2">
        <v>23492980736</v>
      </c>
      <c r="E19">
        <v>2.86</v>
      </c>
      <c r="F19">
        <v>27.38</v>
      </c>
      <c r="G19">
        <v>14.4</v>
      </c>
      <c r="H19" s="2">
        <v>41607815168</v>
      </c>
    </row>
    <row r="20" spans="1:8" x14ac:dyDescent="0.25">
      <c r="A20" t="s">
        <v>44</v>
      </c>
      <c r="B20" t="s">
        <v>45</v>
      </c>
      <c r="C20" s="2">
        <v>3406969344</v>
      </c>
      <c r="D20" s="2">
        <v>23456643072</v>
      </c>
      <c r="E20">
        <v>12.33</v>
      </c>
      <c r="F20" s="2">
        <v>1235</v>
      </c>
      <c r="G20">
        <v>0.74</v>
      </c>
      <c r="H20" s="2">
        <v>986357632</v>
      </c>
    </row>
    <row r="21" spans="1:8" x14ac:dyDescent="0.25">
      <c r="A21" t="s">
        <v>48</v>
      </c>
      <c r="B21" t="s">
        <v>49</v>
      </c>
      <c r="C21" s="2">
        <v>3278945024</v>
      </c>
      <c r="D21" s="2">
        <v>22575208448</v>
      </c>
      <c r="E21">
        <v>8.94</v>
      </c>
      <c r="F21" t="s">
        <v>165</v>
      </c>
      <c r="G21">
        <v>6.43</v>
      </c>
      <c r="H21" s="2">
        <v>15028554368</v>
      </c>
    </row>
    <row r="22" spans="1:8" x14ac:dyDescent="0.25">
      <c r="A22" t="s">
        <v>50</v>
      </c>
      <c r="B22" t="s">
        <v>51</v>
      </c>
      <c r="C22" s="2">
        <v>3202352128</v>
      </c>
      <c r="D22" s="2">
        <v>22047875072</v>
      </c>
      <c r="E22">
        <v>14.8</v>
      </c>
      <c r="F22">
        <v>37.68</v>
      </c>
      <c r="G22">
        <v>-9.8699999999999992</v>
      </c>
      <c r="H22" s="2">
        <v>9817197568</v>
      </c>
    </row>
    <row r="23" spans="1:8" x14ac:dyDescent="0.25">
      <c r="A23" t="s">
        <v>54</v>
      </c>
      <c r="B23" t="s">
        <v>55</v>
      </c>
      <c r="C23" s="2">
        <v>3165838592</v>
      </c>
      <c r="D23" s="2">
        <v>21796483072</v>
      </c>
      <c r="E23">
        <v>3.51</v>
      </c>
      <c r="F23" t="s">
        <v>165</v>
      </c>
      <c r="G23">
        <v>28.57</v>
      </c>
      <c r="H23" s="2">
        <v>39004916736</v>
      </c>
    </row>
    <row r="24" spans="1:8" x14ac:dyDescent="0.25">
      <c r="A24" t="s">
        <v>52</v>
      </c>
      <c r="B24" t="s">
        <v>53</v>
      </c>
      <c r="C24" s="2">
        <v>3016289280</v>
      </c>
      <c r="D24" s="2">
        <v>20766851072</v>
      </c>
      <c r="E24">
        <v>5.78</v>
      </c>
      <c r="F24">
        <v>39.29</v>
      </c>
      <c r="G24">
        <v>11.8</v>
      </c>
      <c r="H24" s="2">
        <v>53012601856</v>
      </c>
    </row>
    <row r="25" spans="1:8" x14ac:dyDescent="0.25">
      <c r="A25" t="s">
        <v>56</v>
      </c>
      <c r="B25" t="s">
        <v>57</v>
      </c>
      <c r="C25" s="2">
        <v>2994290432</v>
      </c>
      <c r="D25" s="2">
        <v>20615391232</v>
      </c>
      <c r="E25">
        <v>2.42</v>
      </c>
      <c r="F25" t="s">
        <v>165</v>
      </c>
      <c r="G25">
        <v>1.26</v>
      </c>
      <c r="H25" s="2">
        <v>11393518848</v>
      </c>
    </row>
    <row r="26" spans="1:8" x14ac:dyDescent="0.25">
      <c r="A26" t="s">
        <v>58</v>
      </c>
      <c r="B26" t="s">
        <v>59</v>
      </c>
      <c r="C26" s="2">
        <v>2972903936</v>
      </c>
      <c r="D26" s="2">
        <v>337929994240</v>
      </c>
      <c r="E26" s="2">
        <v>3595</v>
      </c>
      <c r="F26">
        <v>20.16</v>
      </c>
      <c r="G26">
        <v>-5.52</v>
      </c>
      <c r="H26" s="2">
        <v>134584999936</v>
      </c>
    </row>
    <row r="27" spans="1:8" x14ac:dyDescent="0.25">
      <c r="A27" t="s">
        <v>60</v>
      </c>
      <c r="B27" t="s">
        <v>61</v>
      </c>
      <c r="C27" s="2">
        <v>2639533824</v>
      </c>
      <c r="D27" s="2">
        <v>18172925952</v>
      </c>
      <c r="E27">
        <v>13.63</v>
      </c>
      <c r="F27">
        <v>123.15</v>
      </c>
      <c r="G27">
        <v>3.26</v>
      </c>
      <c r="H27" s="2">
        <v>12587057664</v>
      </c>
    </row>
    <row r="28" spans="1:8" x14ac:dyDescent="0.25">
      <c r="A28" t="s">
        <v>62</v>
      </c>
      <c r="B28" t="s">
        <v>63</v>
      </c>
      <c r="C28" s="2">
        <v>2477570560</v>
      </c>
      <c r="D28" s="2">
        <v>19228919808</v>
      </c>
      <c r="E28">
        <v>2.89</v>
      </c>
      <c r="F28" t="s">
        <v>165</v>
      </c>
      <c r="G28">
        <v>4.33</v>
      </c>
      <c r="H28" s="2">
        <v>27806154240</v>
      </c>
    </row>
    <row r="29" spans="1:8" x14ac:dyDescent="0.25">
      <c r="A29" t="s">
        <v>66</v>
      </c>
      <c r="B29" t="s">
        <v>67</v>
      </c>
      <c r="C29" s="2">
        <v>2296136448</v>
      </c>
      <c r="D29" s="2">
        <v>15808669696</v>
      </c>
      <c r="E29">
        <v>3.99</v>
      </c>
      <c r="F29" t="s">
        <v>165</v>
      </c>
      <c r="G29">
        <v>28.71</v>
      </c>
      <c r="H29" s="2">
        <v>22509711360</v>
      </c>
    </row>
    <row r="30" spans="1:8" x14ac:dyDescent="0.25">
      <c r="A30" t="s">
        <v>64</v>
      </c>
      <c r="B30" t="s">
        <v>65</v>
      </c>
      <c r="C30" s="2">
        <v>2282028288</v>
      </c>
      <c r="D30" s="2">
        <v>15711537152</v>
      </c>
      <c r="E30">
        <v>5.22</v>
      </c>
      <c r="F30" t="s">
        <v>165</v>
      </c>
      <c r="G30">
        <v>-13.86</v>
      </c>
      <c r="H30" s="2">
        <v>43904555008</v>
      </c>
    </row>
    <row r="31" spans="1:8" x14ac:dyDescent="0.25">
      <c r="A31" t="s">
        <v>68</v>
      </c>
      <c r="B31" t="s">
        <v>69</v>
      </c>
      <c r="C31" s="2">
        <v>2178745344</v>
      </c>
      <c r="D31" s="2">
        <v>247657988096</v>
      </c>
      <c r="E31">
        <v>570</v>
      </c>
      <c r="F31">
        <v>21.85</v>
      </c>
      <c r="G31">
        <v>17.77</v>
      </c>
      <c r="H31" s="2">
        <v>438159998976</v>
      </c>
    </row>
    <row r="32" spans="1:8" x14ac:dyDescent="0.25">
      <c r="A32" t="s">
        <v>70</v>
      </c>
      <c r="B32" t="s">
        <v>71</v>
      </c>
      <c r="C32" s="2">
        <v>2076920320</v>
      </c>
      <c r="D32" s="2">
        <v>14299388928</v>
      </c>
      <c r="E32">
        <v>5.96</v>
      </c>
      <c r="F32" t="s">
        <v>165</v>
      </c>
      <c r="G32">
        <v>5.49</v>
      </c>
      <c r="H32" s="2">
        <v>12031678720</v>
      </c>
    </row>
    <row r="33" spans="1:8" x14ac:dyDescent="0.25">
      <c r="A33" t="s">
        <v>72</v>
      </c>
      <c r="B33" t="s">
        <v>73</v>
      </c>
      <c r="C33" s="2">
        <v>1976461568</v>
      </c>
      <c r="D33" s="2">
        <v>224664387584</v>
      </c>
      <c r="E33" s="2">
        <v>3320</v>
      </c>
      <c r="F33">
        <v>17.02</v>
      </c>
      <c r="G33">
        <v>1.37</v>
      </c>
      <c r="H33" s="2">
        <v>140504997888</v>
      </c>
    </row>
    <row r="34" spans="1:8" x14ac:dyDescent="0.25">
      <c r="A34" t="s">
        <v>74</v>
      </c>
      <c r="B34" t="s">
        <v>75</v>
      </c>
      <c r="C34" s="2">
        <v>1890948224</v>
      </c>
      <c r="D34" s="2">
        <v>13018989568</v>
      </c>
      <c r="E34">
        <v>5.17</v>
      </c>
      <c r="F34" t="s">
        <v>165</v>
      </c>
      <c r="G34">
        <v>8.61</v>
      </c>
      <c r="H34" s="2">
        <v>24954998784</v>
      </c>
    </row>
    <row r="35" spans="1:8" x14ac:dyDescent="0.25">
      <c r="A35" t="s">
        <v>78</v>
      </c>
      <c r="B35" t="s">
        <v>79</v>
      </c>
      <c r="C35" s="2">
        <v>1879491840</v>
      </c>
      <c r="D35" s="2">
        <v>2450126336</v>
      </c>
      <c r="E35">
        <v>12.41</v>
      </c>
      <c r="F35">
        <v>22.45</v>
      </c>
      <c r="G35">
        <v>-3.27</v>
      </c>
      <c r="H35" s="2">
        <v>4631099904</v>
      </c>
    </row>
    <row r="36" spans="1:8" x14ac:dyDescent="0.25">
      <c r="A36" t="s">
        <v>76</v>
      </c>
      <c r="B36" t="s">
        <v>77</v>
      </c>
      <c r="C36" s="2">
        <v>1843439616</v>
      </c>
      <c r="D36" s="2">
        <v>12691897344</v>
      </c>
      <c r="E36">
        <v>57.6</v>
      </c>
      <c r="F36" t="s">
        <v>165</v>
      </c>
      <c r="G36">
        <v>-14.36</v>
      </c>
      <c r="H36" s="2">
        <v>4564054528</v>
      </c>
    </row>
    <row r="37" spans="1:8" x14ac:dyDescent="0.25">
      <c r="A37" t="s">
        <v>82</v>
      </c>
      <c r="B37" t="s">
        <v>83</v>
      </c>
      <c r="C37" s="2">
        <v>1732646656</v>
      </c>
      <c r="D37" s="2">
        <v>11929099264</v>
      </c>
      <c r="E37">
        <v>14.7</v>
      </c>
      <c r="F37">
        <v>64.34</v>
      </c>
      <c r="G37">
        <v>-2.0699999999999998</v>
      </c>
      <c r="H37" s="2">
        <v>1302897872</v>
      </c>
    </row>
    <row r="38" spans="1:8" x14ac:dyDescent="0.25">
      <c r="A38" t="s">
        <v>80</v>
      </c>
      <c r="B38" t="s">
        <v>81</v>
      </c>
      <c r="C38" s="2">
        <v>1716283392</v>
      </c>
      <c r="D38" s="2">
        <v>11816439808</v>
      </c>
      <c r="E38">
        <v>4.4000000000000004</v>
      </c>
      <c r="F38">
        <v>21.66</v>
      </c>
      <c r="G38">
        <v>31.74</v>
      </c>
      <c r="H38" s="2">
        <v>28649734144</v>
      </c>
    </row>
    <row r="39" spans="1:8" x14ac:dyDescent="0.25">
      <c r="A39" t="s">
        <v>84</v>
      </c>
      <c r="B39" t="s">
        <v>85</v>
      </c>
      <c r="C39" s="2">
        <v>1713673600</v>
      </c>
      <c r="D39" s="2">
        <v>11798471680</v>
      </c>
      <c r="E39">
        <v>13.86</v>
      </c>
      <c r="F39">
        <v>12.11</v>
      </c>
      <c r="G39">
        <v>1.39</v>
      </c>
      <c r="H39" s="2">
        <v>4508292800</v>
      </c>
    </row>
    <row r="40" spans="1:8" x14ac:dyDescent="0.25">
      <c r="A40" t="s">
        <v>86</v>
      </c>
      <c r="B40" t="s">
        <v>87</v>
      </c>
      <c r="C40" s="2">
        <v>1689087744</v>
      </c>
      <c r="D40" s="2">
        <v>11629200384</v>
      </c>
      <c r="E40">
        <v>12.25</v>
      </c>
      <c r="F40">
        <v>18.760000000000002</v>
      </c>
      <c r="G40">
        <v>-3.85</v>
      </c>
      <c r="H40" s="2">
        <v>9751273344</v>
      </c>
    </row>
    <row r="41" spans="1:8" x14ac:dyDescent="0.25">
      <c r="A41" t="s">
        <v>88</v>
      </c>
      <c r="B41" t="s">
        <v>89</v>
      </c>
      <c r="C41" s="2">
        <v>1612605568</v>
      </c>
      <c r="D41" s="2">
        <v>11102627840</v>
      </c>
      <c r="E41">
        <v>9.76</v>
      </c>
      <c r="F41">
        <v>65.040000000000006</v>
      </c>
      <c r="G41">
        <v>-4.59</v>
      </c>
      <c r="H41" s="2">
        <v>2618864416</v>
      </c>
    </row>
    <row r="42" spans="1:8" x14ac:dyDescent="0.25">
      <c r="A42" t="s">
        <v>90</v>
      </c>
      <c r="B42" t="s">
        <v>91</v>
      </c>
      <c r="C42" s="2">
        <v>1537800064</v>
      </c>
      <c r="D42" s="2">
        <v>10587599872</v>
      </c>
      <c r="E42">
        <v>29.83</v>
      </c>
      <c r="F42">
        <v>46.13</v>
      </c>
      <c r="G42">
        <v>1.19</v>
      </c>
      <c r="H42" s="2">
        <v>3041553408</v>
      </c>
    </row>
    <row r="43" spans="1:8" x14ac:dyDescent="0.25">
      <c r="A43" t="s">
        <v>94</v>
      </c>
      <c r="B43" t="s">
        <v>95</v>
      </c>
      <c r="C43" s="2">
        <v>1520053632</v>
      </c>
      <c r="D43" s="2">
        <v>172784500736</v>
      </c>
      <c r="E43" s="2">
        <v>1573</v>
      </c>
      <c r="F43" t="s">
        <v>165</v>
      </c>
      <c r="G43">
        <v>9.16</v>
      </c>
      <c r="H43" s="2">
        <v>518813999104</v>
      </c>
    </row>
    <row r="44" spans="1:8" x14ac:dyDescent="0.25">
      <c r="A44" t="s">
        <v>92</v>
      </c>
      <c r="B44" t="s">
        <v>93</v>
      </c>
      <c r="C44" s="2">
        <v>1518007040</v>
      </c>
      <c r="D44" s="2">
        <v>10451326976</v>
      </c>
      <c r="E44">
        <v>15.3</v>
      </c>
      <c r="F44" t="s">
        <v>165</v>
      </c>
      <c r="G44">
        <v>25.41</v>
      </c>
      <c r="H44" s="2">
        <v>2931808768</v>
      </c>
    </row>
    <row r="45" spans="1:8" x14ac:dyDescent="0.25">
      <c r="A45" t="s">
        <v>98</v>
      </c>
      <c r="B45" t="s">
        <v>99</v>
      </c>
      <c r="C45" s="2">
        <v>1438800768</v>
      </c>
      <c r="D45" s="2">
        <v>9905999872</v>
      </c>
      <c r="E45">
        <v>8.0299999999999994</v>
      </c>
      <c r="F45">
        <v>70.319999999999993</v>
      </c>
      <c r="G45">
        <v>16.89</v>
      </c>
      <c r="H45" s="2">
        <v>4367833280</v>
      </c>
    </row>
    <row r="46" spans="1:8" x14ac:dyDescent="0.25">
      <c r="A46" t="s">
        <v>96</v>
      </c>
      <c r="B46" t="s">
        <v>97</v>
      </c>
      <c r="C46" s="2">
        <v>1422820608</v>
      </c>
      <c r="D46" s="2">
        <v>161732018176</v>
      </c>
      <c r="E46" s="2">
        <v>1043</v>
      </c>
      <c r="F46">
        <v>10.32</v>
      </c>
      <c r="G46">
        <v>16.28</v>
      </c>
      <c r="H46" s="2">
        <v>117973000192</v>
      </c>
    </row>
    <row r="47" spans="1:8" x14ac:dyDescent="0.25">
      <c r="A47" t="s">
        <v>102</v>
      </c>
      <c r="B47" t="s">
        <v>103</v>
      </c>
      <c r="C47" s="2">
        <v>1331781888</v>
      </c>
      <c r="D47" s="2">
        <v>151383638016</v>
      </c>
      <c r="E47" s="2">
        <v>4890</v>
      </c>
      <c r="F47">
        <v>8.26</v>
      </c>
      <c r="G47">
        <v>8.19</v>
      </c>
      <c r="H47" s="2">
        <v>1785379979264</v>
      </c>
    </row>
    <row r="48" spans="1:8" x14ac:dyDescent="0.25">
      <c r="A48" t="s">
        <v>100</v>
      </c>
      <c r="B48" t="s">
        <v>101</v>
      </c>
      <c r="C48" s="2">
        <v>1287958272</v>
      </c>
      <c r="D48" s="2">
        <v>8867464192</v>
      </c>
      <c r="E48">
        <v>3.6</v>
      </c>
      <c r="F48">
        <v>36.520000000000003</v>
      </c>
      <c r="G48">
        <v>32.840000000000003</v>
      </c>
      <c r="H48" s="2">
        <v>12806426624</v>
      </c>
    </row>
    <row r="49" spans="1:8" x14ac:dyDescent="0.25">
      <c r="A49" t="s">
        <v>106</v>
      </c>
      <c r="B49" t="s">
        <v>107</v>
      </c>
      <c r="C49" s="2">
        <v>1260138240</v>
      </c>
      <c r="D49" s="2">
        <v>8675926016</v>
      </c>
      <c r="E49">
        <v>10.41</v>
      </c>
      <c r="F49">
        <v>72.45</v>
      </c>
      <c r="G49">
        <v>4.0999999999999996</v>
      </c>
      <c r="H49" s="2">
        <v>2781327936</v>
      </c>
    </row>
    <row r="50" spans="1:8" x14ac:dyDescent="0.25">
      <c r="A50" t="s">
        <v>104</v>
      </c>
      <c r="B50" t="s">
        <v>105</v>
      </c>
      <c r="C50" s="2">
        <v>1237711104</v>
      </c>
      <c r="D50" s="2">
        <v>8521517056</v>
      </c>
      <c r="E50">
        <v>3.74</v>
      </c>
      <c r="F50" t="s">
        <v>165</v>
      </c>
      <c r="G50">
        <v>25.08</v>
      </c>
      <c r="H50" s="2">
        <v>20547447040</v>
      </c>
    </row>
    <row r="51" spans="1:8" x14ac:dyDescent="0.25">
      <c r="A51" t="s">
        <v>108</v>
      </c>
      <c r="B51" t="s">
        <v>109</v>
      </c>
      <c r="C51" s="2">
        <v>1201117696</v>
      </c>
      <c r="D51" s="2">
        <v>8269575680</v>
      </c>
      <c r="E51">
        <v>6.58</v>
      </c>
      <c r="F51" t="s">
        <v>165</v>
      </c>
      <c r="G51">
        <v>32.119999999999997</v>
      </c>
      <c r="H51" s="2">
        <v>1884091392</v>
      </c>
    </row>
    <row r="52" spans="1:8" x14ac:dyDescent="0.25">
      <c r="A52" t="s">
        <v>112</v>
      </c>
      <c r="B52" t="s">
        <v>113</v>
      </c>
      <c r="C52" s="2">
        <v>1194394368</v>
      </c>
      <c r="D52" s="2">
        <v>8223286272</v>
      </c>
      <c r="E52">
        <v>10.48</v>
      </c>
      <c r="F52" t="s">
        <v>165</v>
      </c>
      <c r="G52">
        <v>-1.6</v>
      </c>
      <c r="H52" s="2">
        <v>1728706464</v>
      </c>
    </row>
    <row r="53" spans="1:8" x14ac:dyDescent="0.25">
      <c r="A53" t="s">
        <v>110</v>
      </c>
      <c r="B53" t="s">
        <v>111</v>
      </c>
      <c r="C53" s="2">
        <v>1177421952</v>
      </c>
      <c r="D53" s="2">
        <v>9138206720</v>
      </c>
      <c r="E53">
        <v>2.06</v>
      </c>
      <c r="F53" t="s">
        <v>165</v>
      </c>
      <c r="G53">
        <v>-8.85</v>
      </c>
      <c r="H53" s="2">
        <v>5322041088</v>
      </c>
    </row>
    <row r="54" spans="1:8" x14ac:dyDescent="0.25">
      <c r="A54" t="s">
        <v>114</v>
      </c>
      <c r="B54" t="s">
        <v>115</v>
      </c>
      <c r="C54" s="2">
        <v>1059321664</v>
      </c>
      <c r="D54" s="2">
        <v>120413093888</v>
      </c>
      <c r="E54" s="2">
        <v>3360</v>
      </c>
      <c r="F54">
        <v>18.97</v>
      </c>
      <c r="G54">
        <v>9.98</v>
      </c>
      <c r="H54" s="2">
        <v>147116998656</v>
      </c>
    </row>
    <row r="55" spans="1:8" x14ac:dyDescent="0.25">
      <c r="A55" t="s">
        <v>116</v>
      </c>
      <c r="B55" t="s">
        <v>117</v>
      </c>
      <c r="C55" s="2">
        <v>1035147264</v>
      </c>
      <c r="D55" s="2">
        <v>13832673034240</v>
      </c>
      <c r="E55">
        <v>715</v>
      </c>
      <c r="F55" t="s">
        <v>165</v>
      </c>
      <c r="G55">
        <v>-7.14</v>
      </c>
      <c r="H55" s="2">
        <v>1310728000</v>
      </c>
    </row>
    <row r="56" spans="1:8" x14ac:dyDescent="0.25">
      <c r="A56" t="s">
        <v>118</v>
      </c>
      <c r="B56" t="s">
        <v>119</v>
      </c>
      <c r="C56" s="2">
        <v>1007008128</v>
      </c>
      <c r="D56" s="2">
        <v>1154736193536</v>
      </c>
      <c r="E56" s="2">
        <v>12100</v>
      </c>
      <c r="F56">
        <v>4.16</v>
      </c>
      <c r="G56">
        <v>9.5</v>
      </c>
      <c r="H56" s="2">
        <v>5015599448064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workbookViewId="0"/>
  </sheetViews>
  <sheetFormatPr defaultRowHeight="15" x14ac:dyDescent="0.25"/>
  <cols>
    <col min="1" max="1" width="16.5703125" bestFit="1" customWidth="1"/>
    <col min="2" max="2" width="20.42578125" bestFit="1" customWidth="1"/>
    <col min="3" max="3" width="16.42578125" bestFit="1" customWidth="1"/>
    <col min="4" max="4" width="20.140625" bestFit="1" customWidth="1"/>
    <col min="5" max="5" width="10.140625" bestFit="1" customWidth="1"/>
    <col min="6" max="6" width="8.140625" bestFit="1" customWidth="1"/>
    <col min="7" max="7" width="15.7109375" bestFit="1" customWidth="1"/>
    <col min="8" max="8" width="20.140625" bestFit="1" customWidth="1"/>
  </cols>
  <sheetData>
    <row r="1" spans="1:8" x14ac:dyDescent="0.25">
      <c r="A1" t="str">
        <f>_xll.BEQS("AxJ ICB Building Material","cols=8;rows=96")</f>
        <v>Ticker</v>
      </c>
      <c r="B1" t="s">
        <v>4</v>
      </c>
      <c r="C1" t="s">
        <v>5</v>
      </c>
      <c r="D1" t="s">
        <v>120</v>
      </c>
      <c r="E1" t="s">
        <v>6</v>
      </c>
      <c r="F1" t="s">
        <v>7</v>
      </c>
      <c r="G1" t="s">
        <v>8</v>
      </c>
      <c r="H1" t="s">
        <v>9</v>
      </c>
    </row>
    <row r="2" spans="1:8" x14ac:dyDescent="0.25">
      <c r="A2" t="s">
        <v>121</v>
      </c>
      <c r="B2" t="s">
        <v>122</v>
      </c>
      <c r="C2" s="2">
        <v>17872629760</v>
      </c>
      <c r="D2" s="2">
        <v>626399969280</v>
      </c>
      <c r="E2">
        <v>518</v>
      </c>
      <c r="F2">
        <v>11.08</v>
      </c>
      <c r="G2">
        <v>4.4400000000000004</v>
      </c>
      <c r="H2" s="2">
        <v>423442366464</v>
      </c>
    </row>
    <row r="3" spans="1:8" x14ac:dyDescent="0.25">
      <c r="A3" t="s">
        <v>123</v>
      </c>
      <c r="B3" t="s">
        <v>124</v>
      </c>
      <c r="C3" s="2">
        <v>16316288000</v>
      </c>
      <c r="D3" s="2">
        <v>126633975808</v>
      </c>
      <c r="E3">
        <v>26.8</v>
      </c>
      <c r="F3">
        <v>20.63</v>
      </c>
      <c r="G3">
        <v>27.01</v>
      </c>
      <c r="H3" s="2">
        <v>50725822464</v>
      </c>
    </row>
    <row r="4" spans="1:8" x14ac:dyDescent="0.25">
      <c r="A4" t="s">
        <v>125</v>
      </c>
      <c r="B4" t="s">
        <v>126</v>
      </c>
      <c r="C4" s="2">
        <v>11090330624</v>
      </c>
      <c r="D4" s="2">
        <v>76355821568</v>
      </c>
      <c r="E4">
        <v>26.49</v>
      </c>
      <c r="F4">
        <v>13.56</v>
      </c>
      <c r="G4">
        <v>10.84</v>
      </c>
      <c r="H4" s="2">
        <v>36366929408</v>
      </c>
    </row>
    <row r="5" spans="1:8" x14ac:dyDescent="0.25">
      <c r="A5" t="s">
        <v>127</v>
      </c>
      <c r="B5" t="s">
        <v>128</v>
      </c>
      <c r="C5" s="2">
        <v>9583848448</v>
      </c>
      <c r="D5" s="2">
        <v>1089396015104</v>
      </c>
      <c r="E5">
        <v>918</v>
      </c>
      <c r="F5">
        <v>22.52</v>
      </c>
      <c r="G5">
        <v>15.33</v>
      </c>
      <c r="H5" s="2">
        <v>1282569011200</v>
      </c>
    </row>
    <row r="6" spans="1:8" x14ac:dyDescent="0.25">
      <c r="A6" t="s">
        <v>129</v>
      </c>
      <c r="B6" t="s">
        <v>130</v>
      </c>
      <c r="C6" s="2">
        <v>7628752384</v>
      </c>
      <c r="D6" s="2">
        <v>867160293376</v>
      </c>
      <c r="E6" s="2">
        <v>2770</v>
      </c>
      <c r="F6">
        <v>43.14</v>
      </c>
      <c r="G6">
        <v>4.37</v>
      </c>
      <c r="H6" s="2">
        <v>1784591974400</v>
      </c>
    </row>
    <row r="7" spans="1:8" x14ac:dyDescent="0.25">
      <c r="A7" t="s">
        <v>131</v>
      </c>
      <c r="B7" t="s">
        <v>132</v>
      </c>
      <c r="C7" s="2">
        <v>6659179008</v>
      </c>
      <c r="D7" s="2">
        <v>51683221504</v>
      </c>
      <c r="E7">
        <v>3.51</v>
      </c>
      <c r="F7">
        <v>7.13</v>
      </c>
      <c r="G7">
        <v>30.97</v>
      </c>
      <c r="H7" s="2">
        <v>44251731968</v>
      </c>
    </row>
    <row r="8" spans="1:8" x14ac:dyDescent="0.25">
      <c r="A8" t="s">
        <v>133</v>
      </c>
      <c r="B8" t="s">
        <v>134</v>
      </c>
      <c r="C8" s="2">
        <v>6570432512</v>
      </c>
      <c r="D8" s="2">
        <v>746861035520</v>
      </c>
      <c r="E8" s="2">
        <v>4220</v>
      </c>
      <c r="F8">
        <v>23.13</v>
      </c>
      <c r="G8">
        <v>-8.76</v>
      </c>
      <c r="H8" s="2">
        <v>559413993472</v>
      </c>
    </row>
    <row r="9" spans="1:8" x14ac:dyDescent="0.25">
      <c r="A9" t="s">
        <v>135</v>
      </c>
      <c r="B9" t="s">
        <v>136</v>
      </c>
      <c r="C9" s="2">
        <v>6269662720</v>
      </c>
      <c r="D9" s="2">
        <v>8173201408</v>
      </c>
      <c r="E9">
        <v>18.54</v>
      </c>
      <c r="F9">
        <v>23.58</v>
      </c>
      <c r="G9">
        <v>-15.61</v>
      </c>
      <c r="H9" s="2">
        <v>1863100000</v>
      </c>
    </row>
    <row r="10" spans="1:8" x14ac:dyDescent="0.25">
      <c r="A10" t="s">
        <v>137</v>
      </c>
      <c r="B10" t="s">
        <v>138</v>
      </c>
      <c r="C10" s="2">
        <v>5980998656</v>
      </c>
      <c r="D10" s="2">
        <v>41178578944</v>
      </c>
      <c r="E10">
        <v>26.57</v>
      </c>
      <c r="F10" s="2">
        <v>2138.8000000000002</v>
      </c>
      <c r="G10">
        <v>-12.08</v>
      </c>
      <c r="H10" s="2">
        <v>1471366848</v>
      </c>
    </row>
    <row r="11" spans="1:8" x14ac:dyDescent="0.25">
      <c r="A11" t="s">
        <v>139</v>
      </c>
      <c r="B11" t="s">
        <v>140</v>
      </c>
      <c r="C11" s="2">
        <v>5449732096</v>
      </c>
      <c r="D11" s="2">
        <v>7104331264</v>
      </c>
      <c r="E11">
        <v>6.06</v>
      </c>
      <c r="F11">
        <v>19.91</v>
      </c>
      <c r="G11">
        <v>12.01</v>
      </c>
      <c r="H11" s="2">
        <v>4011400064</v>
      </c>
    </row>
    <row r="12" spans="1:8" x14ac:dyDescent="0.25">
      <c r="A12" t="s">
        <v>141</v>
      </c>
      <c r="B12" t="s">
        <v>142</v>
      </c>
      <c r="C12" s="2">
        <v>4995257856</v>
      </c>
      <c r="D12" s="2">
        <v>6981492224</v>
      </c>
      <c r="E12">
        <v>10.06</v>
      </c>
      <c r="F12">
        <v>15.14</v>
      </c>
      <c r="G12">
        <v>-5.09</v>
      </c>
      <c r="H12" s="2">
        <v>9003999744</v>
      </c>
    </row>
    <row r="13" spans="1:8" x14ac:dyDescent="0.25">
      <c r="A13" t="s">
        <v>143</v>
      </c>
      <c r="B13" t="s">
        <v>144</v>
      </c>
      <c r="C13" s="2">
        <v>4574679040</v>
      </c>
      <c r="D13" s="2">
        <v>520003747840</v>
      </c>
      <c r="E13">
        <v>409</v>
      </c>
      <c r="F13">
        <v>7.52</v>
      </c>
      <c r="G13">
        <v>10.54</v>
      </c>
      <c r="H13" s="2">
        <v>801003995136</v>
      </c>
    </row>
    <row r="14" spans="1:8" x14ac:dyDescent="0.25">
      <c r="A14" t="s">
        <v>145</v>
      </c>
      <c r="B14" t="s">
        <v>146</v>
      </c>
      <c r="C14" s="2">
        <v>4384466432</v>
      </c>
      <c r="D14" s="2">
        <v>135133634560</v>
      </c>
      <c r="E14">
        <v>36.6</v>
      </c>
      <c r="F14">
        <v>21.77</v>
      </c>
      <c r="G14">
        <v>4.13</v>
      </c>
      <c r="H14" s="2">
        <v>87577071616</v>
      </c>
    </row>
    <row r="15" spans="1:8" x14ac:dyDescent="0.25">
      <c r="A15" t="s">
        <v>147</v>
      </c>
      <c r="B15" t="s">
        <v>148</v>
      </c>
      <c r="C15" s="2">
        <v>4269931008</v>
      </c>
      <c r="D15" s="2">
        <v>57059089317888</v>
      </c>
      <c r="E15" s="2">
        <v>15500</v>
      </c>
      <c r="F15">
        <v>13.31</v>
      </c>
      <c r="G15">
        <v>0.65</v>
      </c>
      <c r="H15" s="2">
        <v>16258414936064</v>
      </c>
    </row>
    <row r="16" spans="1:8" x14ac:dyDescent="0.25">
      <c r="A16" t="s">
        <v>149</v>
      </c>
      <c r="B16" t="s">
        <v>150</v>
      </c>
      <c r="C16" s="2">
        <v>4083662592</v>
      </c>
      <c r="D16" s="2">
        <v>54569983803392</v>
      </c>
      <c r="E16" s="2">
        <v>9200</v>
      </c>
      <c r="F16">
        <v>12.84</v>
      </c>
      <c r="G16">
        <v>0.27</v>
      </c>
      <c r="H16" s="2">
        <v>26136796987392</v>
      </c>
    </row>
    <row r="17" spans="1:8" x14ac:dyDescent="0.25">
      <c r="A17" t="s">
        <v>151</v>
      </c>
      <c r="B17" t="s">
        <v>152</v>
      </c>
      <c r="C17" s="2">
        <v>3999079680</v>
      </c>
      <c r="D17" s="2">
        <v>27533264896</v>
      </c>
      <c r="E17">
        <v>28.33</v>
      </c>
      <c r="F17">
        <v>55.35</v>
      </c>
      <c r="G17">
        <v>13.27</v>
      </c>
      <c r="H17" s="2">
        <v>2783003040</v>
      </c>
    </row>
    <row r="18" spans="1:8" x14ac:dyDescent="0.25">
      <c r="A18" t="s">
        <v>153</v>
      </c>
      <c r="B18" t="s">
        <v>154</v>
      </c>
      <c r="C18" s="2">
        <v>3485172736</v>
      </c>
      <c r="D18" s="2">
        <v>27049121792</v>
      </c>
      <c r="E18">
        <v>5.23</v>
      </c>
      <c r="F18">
        <v>74.89</v>
      </c>
      <c r="G18">
        <v>38.729999999999997</v>
      </c>
      <c r="H18" s="2">
        <v>96056184832</v>
      </c>
    </row>
    <row r="19" spans="1:8" x14ac:dyDescent="0.25">
      <c r="A19" t="s">
        <v>155</v>
      </c>
      <c r="B19" t="s">
        <v>156</v>
      </c>
      <c r="C19" s="2">
        <v>3228280576</v>
      </c>
      <c r="D19" s="2">
        <v>99498835968</v>
      </c>
      <c r="E19">
        <v>29.6</v>
      </c>
      <c r="F19">
        <v>34.28</v>
      </c>
      <c r="G19">
        <v>12.33</v>
      </c>
      <c r="H19" s="2">
        <v>61277851648</v>
      </c>
    </row>
    <row r="20" spans="1:8" x14ac:dyDescent="0.25">
      <c r="A20" t="s">
        <v>157</v>
      </c>
      <c r="B20" t="s">
        <v>158</v>
      </c>
      <c r="C20" s="2">
        <v>3139702528</v>
      </c>
      <c r="D20" s="2">
        <v>24367859712</v>
      </c>
      <c r="E20">
        <v>3.77</v>
      </c>
      <c r="F20">
        <v>44.45</v>
      </c>
      <c r="G20">
        <v>25.25</v>
      </c>
      <c r="H20" s="2">
        <v>24504320000</v>
      </c>
    </row>
    <row r="21" spans="1:8" x14ac:dyDescent="0.25">
      <c r="A21" t="s">
        <v>159</v>
      </c>
      <c r="B21" t="s">
        <v>160</v>
      </c>
      <c r="C21" s="2">
        <v>3116228864</v>
      </c>
      <c r="D21" s="2">
        <v>3573379497984</v>
      </c>
      <c r="E21" s="2">
        <v>338500</v>
      </c>
      <c r="F21">
        <v>12.71</v>
      </c>
      <c r="G21">
        <v>-5.84</v>
      </c>
      <c r="H21" s="2">
        <v>3490501099520</v>
      </c>
    </row>
    <row r="22" spans="1:8" x14ac:dyDescent="0.25">
      <c r="A22" t="s">
        <v>161</v>
      </c>
      <c r="B22" t="s">
        <v>162</v>
      </c>
      <c r="C22" s="2">
        <v>3067974144</v>
      </c>
      <c r="D22" s="2">
        <v>21122695168</v>
      </c>
      <c r="E22">
        <v>24.9</v>
      </c>
      <c r="F22">
        <v>21.11</v>
      </c>
      <c r="G22">
        <v>14.8</v>
      </c>
      <c r="H22" s="2">
        <v>6404113984</v>
      </c>
    </row>
    <row r="23" spans="1:8" x14ac:dyDescent="0.25">
      <c r="A23" t="s">
        <v>163</v>
      </c>
      <c r="B23" t="s">
        <v>164</v>
      </c>
      <c r="C23" s="2">
        <v>2859867904</v>
      </c>
      <c r="D23" s="2">
        <v>22196006912</v>
      </c>
      <c r="E23">
        <v>6.08</v>
      </c>
      <c r="F23" t="s">
        <v>165</v>
      </c>
      <c r="G23">
        <v>-0.33</v>
      </c>
      <c r="H23" t="s">
        <v>165</v>
      </c>
    </row>
    <row r="24" spans="1:8" x14ac:dyDescent="0.25">
      <c r="A24" t="s">
        <v>166</v>
      </c>
      <c r="B24" t="s">
        <v>167</v>
      </c>
      <c r="C24" s="2">
        <v>2831634176</v>
      </c>
      <c r="D24" s="2">
        <v>19495518208</v>
      </c>
      <c r="E24">
        <v>11.38</v>
      </c>
      <c r="F24">
        <v>15.25</v>
      </c>
      <c r="G24">
        <v>10.59</v>
      </c>
      <c r="H24" s="2">
        <v>7753089536</v>
      </c>
    </row>
    <row r="25" spans="1:8" x14ac:dyDescent="0.25">
      <c r="A25" t="s">
        <v>168</v>
      </c>
      <c r="B25" t="s">
        <v>169</v>
      </c>
      <c r="C25" s="2">
        <v>2738596096</v>
      </c>
      <c r="D25" s="2">
        <v>21254791168</v>
      </c>
      <c r="E25">
        <v>6.29</v>
      </c>
      <c r="F25" t="s">
        <v>165</v>
      </c>
      <c r="G25">
        <v>0</v>
      </c>
      <c r="H25" s="2">
        <v>10703358976</v>
      </c>
    </row>
    <row r="26" spans="1:8" x14ac:dyDescent="0.25">
      <c r="A26" t="s">
        <v>170</v>
      </c>
      <c r="B26" t="s">
        <v>171</v>
      </c>
      <c r="C26" s="2">
        <v>2700956672</v>
      </c>
      <c r="D26" s="2">
        <v>18595817472</v>
      </c>
      <c r="E26">
        <v>14.32</v>
      </c>
      <c r="F26" t="s">
        <v>165</v>
      </c>
      <c r="G26">
        <v>20.34</v>
      </c>
      <c r="H26" s="2">
        <v>11588023040</v>
      </c>
    </row>
    <row r="27" spans="1:8" x14ac:dyDescent="0.25">
      <c r="A27" t="s">
        <v>172</v>
      </c>
      <c r="B27" t="s">
        <v>173</v>
      </c>
      <c r="C27" s="2">
        <v>2670386176</v>
      </c>
      <c r="D27" s="2">
        <v>18385342464</v>
      </c>
      <c r="E27">
        <v>16.77</v>
      </c>
      <c r="F27" t="s">
        <v>165</v>
      </c>
      <c r="G27">
        <v>-12.57</v>
      </c>
      <c r="H27" t="s">
        <v>165</v>
      </c>
    </row>
    <row r="28" spans="1:8" x14ac:dyDescent="0.25">
      <c r="A28" t="s">
        <v>174</v>
      </c>
      <c r="B28" t="s">
        <v>175</v>
      </c>
      <c r="C28" s="2">
        <v>2653634816</v>
      </c>
      <c r="D28" s="2">
        <v>18270011392</v>
      </c>
      <c r="E28">
        <v>63.33</v>
      </c>
      <c r="F28">
        <v>38.82</v>
      </c>
      <c r="G28">
        <v>-8.43</v>
      </c>
      <c r="H28" s="2">
        <v>1717540512</v>
      </c>
    </row>
    <row r="29" spans="1:8" x14ac:dyDescent="0.25">
      <c r="A29" t="s">
        <v>176</v>
      </c>
      <c r="B29" t="s">
        <v>177</v>
      </c>
      <c r="C29" s="2">
        <v>2611352320</v>
      </c>
      <c r="D29" s="2">
        <v>3404187648</v>
      </c>
      <c r="E29">
        <v>5.24</v>
      </c>
      <c r="F29">
        <v>16.84</v>
      </c>
      <c r="G29">
        <v>-3.5</v>
      </c>
      <c r="H29" s="2">
        <v>1419299968</v>
      </c>
    </row>
    <row r="30" spans="1:8" x14ac:dyDescent="0.25">
      <c r="A30" t="s">
        <v>178</v>
      </c>
      <c r="B30" t="s">
        <v>179</v>
      </c>
      <c r="C30" s="2">
        <v>2566754560</v>
      </c>
      <c r="D30" s="2">
        <v>17671847936</v>
      </c>
      <c r="E30">
        <v>39.299999999999997</v>
      </c>
      <c r="F30">
        <v>597.49</v>
      </c>
      <c r="G30">
        <v>-1.73</v>
      </c>
      <c r="H30" s="2">
        <v>403630820</v>
      </c>
    </row>
    <row r="31" spans="1:8" x14ac:dyDescent="0.25">
      <c r="A31" t="s">
        <v>180</v>
      </c>
      <c r="B31" t="s">
        <v>181</v>
      </c>
      <c r="C31" s="2">
        <v>2557035520</v>
      </c>
      <c r="D31" s="2">
        <v>17604933632</v>
      </c>
      <c r="E31">
        <v>23.06</v>
      </c>
      <c r="F31">
        <v>839.06</v>
      </c>
      <c r="G31">
        <v>-22.95</v>
      </c>
      <c r="H31" s="2">
        <v>2031538240</v>
      </c>
    </row>
    <row r="32" spans="1:8" x14ac:dyDescent="0.25">
      <c r="A32" t="s">
        <v>182</v>
      </c>
      <c r="B32" t="s">
        <v>183</v>
      </c>
      <c r="C32" s="2">
        <v>2510390272</v>
      </c>
      <c r="D32" s="2">
        <v>17283786752</v>
      </c>
      <c r="E32">
        <v>32.61</v>
      </c>
      <c r="F32">
        <v>32.18</v>
      </c>
      <c r="G32">
        <v>2.0699999999999998</v>
      </c>
      <c r="H32" s="2">
        <v>4704040832</v>
      </c>
    </row>
    <row r="33" spans="1:8" x14ac:dyDescent="0.25">
      <c r="A33" t="s">
        <v>184</v>
      </c>
      <c r="B33" t="s">
        <v>185</v>
      </c>
      <c r="C33" s="2">
        <v>2281296896</v>
      </c>
      <c r="D33" s="2">
        <v>259315007488</v>
      </c>
      <c r="E33" s="2">
        <v>1085</v>
      </c>
      <c r="F33">
        <v>16.38</v>
      </c>
      <c r="G33">
        <v>-2.69</v>
      </c>
      <c r="H33" s="2">
        <v>359872000000</v>
      </c>
    </row>
    <row r="34" spans="1:8" x14ac:dyDescent="0.25">
      <c r="A34" t="s">
        <v>186</v>
      </c>
      <c r="B34" t="s">
        <v>187</v>
      </c>
      <c r="C34" s="2">
        <v>2280886016</v>
      </c>
      <c r="D34" s="2">
        <v>15703672832</v>
      </c>
      <c r="E34">
        <v>6.15</v>
      </c>
      <c r="F34" t="s">
        <v>165</v>
      </c>
      <c r="G34">
        <v>12.43</v>
      </c>
      <c r="H34" s="2">
        <v>10112633600</v>
      </c>
    </row>
    <row r="35" spans="1:8" x14ac:dyDescent="0.25">
      <c r="A35" t="s">
        <v>188</v>
      </c>
      <c r="B35" t="s">
        <v>189</v>
      </c>
      <c r="C35" s="2">
        <v>2195586048</v>
      </c>
      <c r="D35" s="2">
        <v>110459936768</v>
      </c>
      <c r="E35">
        <v>17.12</v>
      </c>
      <c r="F35">
        <v>12.24</v>
      </c>
      <c r="G35">
        <v>3.76</v>
      </c>
      <c r="H35" s="2">
        <v>40349040640</v>
      </c>
    </row>
    <row r="36" spans="1:8" x14ac:dyDescent="0.25">
      <c r="A36" t="s">
        <v>190</v>
      </c>
      <c r="B36" t="s">
        <v>191</v>
      </c>
      <c r="C36" s="2">
        <v>2155268608</v>
      </c>
      <c r="D36" s="2">
        <v>14838808576</v>
      </c>
      <c r="E36">
        <v>14.46</v>
      </c>
      <c r="F36" t="s">
        <v>165</v>
      </c>
      <c r="G36">
        <v>20.7</v>
      </c>
      <c r="H36" s="2">
        <v>1495244864</v>
      </c>
    </row>
    <row r="37" spans="1:8" x14ac:dyDescent="0.25">
      <c r="A37" t="s">
        <v>192</v>
      </c>
      <c r="B37" t="s">
        <v>193</v>
      </c>
      <c r="C37" s="2">
        <v>2035104256</v>
      </c>
      <c r="D37" s="2">
        <v>14011489280</v>
      </c>
      <c r="E37">
        <v>3.27</v>
      </c>
      <c r="F37">
        <v>106.19</v>
      </c>
      <c r="G37">
        <v>0</v>
      </c>
      <c r="H37" s="2">
        <v>3374387904</v>
      </c>
    </row>
    <row r="38" spans="1:8" x14ac:dyDescent="0.25">
      <c r="A38" t="s">
        <v>194</v>
      </c>
      <c r="B38" t="s">
        <v>195</v>
      </c>
      <c r="C38" s="2">
        <v>1991773056</v>
      </c>
      <c r="D38" s="2">
        <v>13713158144</v>
      </c>
      <c r="E38">
        <v>17.8</v>
      </c>
      <c r="F38" t="s">
        <v>165</v>
      </c>
      <c r="G38">
        <v>-2.4700000000000002</v>
      </c>
      <c r="H38" s="2">
        <v>1095113456</v>
      </c>
    </row>
    <row r="39" spans="1:8" x14ac:dyDescent="0.25">
      <c r="A39" t="s">
        <v>196</v>
      </c>
      <c r="B39" t="s">
        <v>197</v>
      </c>
      <c r="C39" s="2">
        <v>1980600320</v>
      </c>
      <c r="D39" s="2">
        <v>13636235264</v>
      </c>
      <c r="E39">
        <v>28.31</v>
      </c>
      <c r="F39" t="s">
        <v>165</v>
      </c>
      <c r="G39">
        <v>48.69</v>
      </c>
      <c r="H39" s="2">
        <v>2984865216</v>
      </c>
    </row>
    <row r="40" spans="1:8" x14ac:dyDescent="0.25">
      <c r="A40" t="s">
        <v>198</v>
      </c>
      <c r="B40" t="s">
        <v>199</v>
      </c>
      <c r="C40" s="2">
        <v>1970422784</v>
      </c>
      <c r="D40" s="2">
        <v>13566163968</v>
      </c>
      <c r="E40">
        <v>15.79</v>
      </c>
      <c r="F40">
        <v>39.04</v>
      </c>
      <c r="G40">
        <v>-12.71</v>
      </c>
      <c r="H40" s="2">
        <v>1368936016</v>
      </c>
    </row>
    <row r="41" spans="1:8" x14ac:dyDescent="0.25">
      <c r="A41" t="s">
        <v>200</v>
      </c>
      <c r="B41" t="s">
        <v>201</v>
      </c>
      <c r="C41" s="2">
        <v>1953311360</v>
      </c>
      <c r="D41" s="2">
        <v>13448353792</v>
      </c>
      <c r="E41">
        <v>16.739999999999998</v>
      </c>
      <c r="F41">
        <v>78.239999999999995</v>
      </c>
      <c r="G41">
        <v>-3.52</v>
      </c>
      <c r="H41" s="2">
        <v>486172376</v>
      </c>
    </row>
    <row r="42" spans="1:8" x14ac:dyDescent="0.25">
      <c r="A42" t="s">
        <v>202</v>
      </c>
      <c r="B42" t="s">
        <v>203</v>
      </c>
      <c r="C42" s="2">
        <v>1910765184</v>
      </c>
      <c r="D42" s="2">
        <v>13155427328</v>
      </c>
      <c r="E42">
        <v>6.92</v>
      </c>
      <c r="F42">
        <v>463.36</v>
      </c>
      <c r="G42">
        <v>2.37</v>
      </c>
      <c r="H42" s="2">
        <v>855711712</v>
      </c>
    </row>
    <row r="43" spans="1:8" x14ac:dyDescent="0.25">
      <c r="A43" t="s">
        <v>204</v>
      </c>
      <c r="B43" t="s">
        <v>205</v>
      </c>
      <c r="C43" s="2">
        <v>1905188352</v>
      </c>
      <c r="D43" s="2">
        <v>13117031424</v>
      </c>
      <c r="E43">
        <v>17.55</v>
      </c>
      <c r="F43">
        <v>22.09</v>
      </c>
      <c r="G43">
        <v>13.74</v>
      </c>
      <c r="H43" s="2">
        <v>3031712704</v>
      </c>
    </row>
    <row r="44" spans="1:8" x14ac:dyDescent="0.25">
      <c r="A44" t="s">
        <v>206</v>
      </c>
      <c r="B44" t="s">
        <v>207</v>
      </c>
      <c r="C44" s="2">
        <v>1842324096</v>
      </c>
      <c r="D44" s="2">
        <v>2401673984</v>
      </c>
      <c r="E44">
        <v>6.17</v>
      </c>
      <c r="F44">
        <v>18.04</v>
      </c>
      <c r="G44">
        <v>-1.1200000000000001</v>
      </c>
      <c r="H44" s="2">
        <v>1716259008</v>
      </c>
    </row>
    <row r="45" spans="1:8" x14ac:dyDescent="0.25">
      <c r="A45" t="s">
        <v>208</v>
      </c>
      <c r="B45" t="s">
        <v>209</v>
      </c>
      <c r="C45" s="2">
        <v>1837179392</v>
      </c>
      <c r="D45" s="2">
        <v>64389464064</v>
      </c>
      <c r="E45">
        <v>17.7</v>
      </c>
      <c r="F45">
        <v>49.29</v>
      </c>
      <c r="G45">
        <v>-2.21</v>
      </c>
      <c r="H45" s="2">
        <v>18857440256</v>
      </c>
    </row>
    <row r="46" spans="1:8" x14ac:dyDescent="0.25">
      <c r="A46" t="s">
        <v>210</v>
      </c>
      <c r="B46" t="s">
        <v>211</v>
      </c>
      <c r="C46" s="2">
        <v>1798105472</v>
      </c>
      <c r="D46" s="2">
        <v>63019999232</v>
      </c>
      <c r="E46">
        <v>273</v>
      </c>
      <c r="F46">
        <v>16.100000000000001</v>
      </c>
      <c r="G46">
        <v>0.37</v>
      </c>
      <c r="H46" s="2">
        <v>34191762944</v>
      </c>
    </row>
    <row r="47" spans="1:8" x14ac:dyDescent="0.25">
      <c r="A47" t="s">
        <v>212</v>
      </c>
      <c r="B47" t="s">
        <v>213</v>
      </c>
      <c r="C47" s="2">
        <v>1767642112</v>
      </c>
      <c r="D47" s="2">
        <v>12170039296</v>
      </c>
      <c r="E47">
        <v>12.15</v>
      </c>
      <c r="F47">
        <v>40.770000000000003</v>
      </c>
      <c r="G47">
        <v>63.31</v>
      </c>
      <c r="H47" s="2">
        <v>10880554112</v>
      </c>
    </row>
    <row r="48" spans="1:8" x14ac:dyDescent="0.25">
      <c r="A48" t="s">
        <v>214</v>
      </c>
      <c r="B48" t="s">
        <v>215</v>
      </c>
      <c r="C48" s="2">
        <v>1731519232</v>
      </c>
      <c r="D48" s="2">
        <v>11921337344</v>
      </c>
      <c r="E48">
        <v>10.46</v>
      </c>
      <c r="F48">
        <v>34.18</v>
      </c>
      <c r="G48">
        <v>-1.78</v>
      </c>
      <c r="H48" s="2">
        <v>15420798976</v>
      </c>
    </row>
    <row r="49" spans="1:8" x14ac:dyDescent="0.25">
      <c r="A49" t="s">
        <v>216</v>
      </c>
      <c r="B49" t="s">
        <v>217</v>
      </c>
      <c r="C49" s="2">
        <v>1723214208</v>
      </c>
      <c r="D49" s="2">
        <v>195877748736</v>
      </c>
      <c r="E49" s="2">
        <v>2898</v>
      </c>
      <c r="F49">
        <v>16.87</v>
      </c>
      <c r="G49">
        <v>-6.06</v>
      </c>
      <c r="H49" s="2">
        <v>151946999808</v>
      </c>
    </row>
    <row r="50" spans="1:8" x14ac:dyDescent="0.25">
      <c r="A50" t="s">
        <v>218</v>
      </c>
      <c r="B50" t="s">
        <v>219</v>
      </c>
      <c r="C50" s="2">
        <v>1714162944</v>
      </c>
      <c r="D50" s="2">
        <v>1714162944</v>
      </c>
      <c r="E50">
        <v>0.76</v>
      </c>
      <c r="F50">
        <v>57.68</v>
      </c>
      <c r="G50">
        <v>8.3000000000000007</v>
      </c>
      <c r="H50" s="2">
        <v>12380438016</v>
      </c>
    </row>
    <row r="51" spans="1:8" x14ac:dyDescent="0.25">
      <c r="A51" t="s">
        <v>220</v>
      </c>
      <c r="B51" t="s">
        <v>221</v>
      </c>
      <c r="C51" s="2">
        <v>1706294656</v>
      </c>
      <c r="D51" s="2">
        <v>11747667968</v>
      </c>
      <c r="E51">
        <v>18.14</v>
      </c>
      <c r="F51">
        <v>75.09</v>
      </c>
      <c r="G51">
        <v>-2.3199999999999998</v>
      </c>
      <c r="H51" s="2">
        <v>1045699904</v>
      </c>
    </row>
    <row r="52" spans="1:8" x14ac:dyDescent="0.25">
      <c r="A52" t="s">
        <v>222</v>
      </c>
      <c r="B52" t="s">
        <v>223</v>
      </c>
      <c r="C52" s="2">
        <v>1701033600</v>
      </c>
      <c r="D52" s="2">
        <v>11711446016</v>
      </c>
      <c r="E52">
        <v>4.55</v>
      </c>
      <c r="F52">
        <v>25.5</v>
      </c>
      <c r="G52">
        <v>17.27</v>
      </c>
      <c r="H52" s="2">
        <v>6257873536</v>
      </c>
    </row>
    <row r="53" spans="1:8" x14ac:dyDescent="0.25">
      <c r="A53" t="s">
        <v>224</v>
      </c>
      <c r="B53" t="s">
        <v>225</v>
      </c>
      <c r="C53" s="2">
        <v>1692937856</v>
      </c>
      <c r="D53" s="2">
        <v>192436240384</v>
      </c>
      <c r="E53">
        <v>461</v>
      </c>
      <c r="F53">
        <v>11.55</v>
      </c>
      <c r="G53">
        <v>4.54</v>
      </c>
      <c r="H53" s="2">
        <v>229722001408</v>
      </c>
    </row>
    <row r="54" spans="1:8" x14ac:dyDescent="0.25">
      <c r="A54" t="s">
        <v>226</v>
      </c>
      <c r="B54" t="s">
        <v>227</v>
      </c>
      <c r="C54" s="2">
        <v>1691379584</v>
      </c>
      <c r="D54" s="2">
        <v>11644979200</v>
      </c>
      <c r="E54">
        <v>8.92</v>
      </c>
      <c r="F54">
        <v>96.59</v>
      </c>
      <c r="G54">
        <v>5.69</v>
      </c>
      <c r="H54" s="2">
        <v>1339235200</v>
      </c>
    </row>
    <row r="55" spans="1:8" x14ac:dyDescent="0.25">
      <c r="A55" t="s">
        <v>228</v>
      </c>
      <c r="B55" t="s">
        <v>229</v>
      </c>
      <c r="C55" s="2">
        <v>1660309888</v>
      </c>
      <c r="D55" s="2">
        <v>11431067648</v>
      </c>
      <c r="E55">
        <v>9.1999999999999993</v>
      </c>
      <c r="F55">
        <v>34.56</v>
      </c>
      <c r="G55">
        <v>-1.6</v>
      </c>
      <c r="H55" s="2">
        <v>6634557952</v>
      </c>
    </row>
    <row r="56" spans="1:8" x14ac:dyDescent="0.25">
      <c r="A56" t="s">
        <v>230</v>
      </c>
      <c r="B56" t="s">
        <v>231</v>
      </c>
      <c r="C56" s="2">
        <v>1657963520</v>
      </c>
      <c r="D56" s="2">
        <v>11414913024</v>
      </c>
      <c r="E56">
        <v>13.04</v>
      </c>
      <c r="F56" t="s">
        <v>165</v>
      </c>
      <c r="G56">
        <v>84.96</v>
      </c>
      <c r="H56" s="2">
        <v>4759178496</v>
      </c>
    </row>
    <row r="57" spans="1:8" x14ac:dyDescent="0.25">
      <c r="A57" t="s">
        <v>232</v>
      </c>
      <c r="B57" t="s">
        <v>233</v>
      </c>
      <c r="C57" s="2">
        <v>1656422656</v>
      </c>
      <c r="D57" s="2">
        <v>22134776659968</v>
      </c>
      <c r="E57" s="2">
        <v>2250</v>
      </c>
      <c r="F57">
        <v>84.87</v>
      </c>
      <c r="G57">
        <v>-19.350000000000001</v>
      </c>
      <c r="H57" s="2">
        <v>1471321473024</v>
      </c>
    </row>
    <row r="58" spans="1:8" x14ac:dyDescent="0.25">
      <c r="A58" t="s">
        <v>234</v>
      </c>
      <c r="B58" t="s">
        <v>235</v>
      </c>
      <c r="C58" s="2">
        <v>1640825984</v>
      </c>
      <c r="D58" s="2">
        <v>2138998912</v>
      </c>
      <c r="E58">
        <v>4.24</v>
      </c>
      <c r="F58">
        <v>11.96</v>
      </c>
      <c r="G58">
        <v>-8.23</v>
      </c>
      <c r="H58" s="2">
        <v>2390400000</v>
      </c>
    </row>
    <row r="59" spans="1:8" x14ac:dyDescent="0.25">
      <c r="A59" t="s">
        <v>236</v>
      </c>
      <c r="B59" t="s">
        <v>237</v>
      </c>
      <c r="C59" s="2">
        <v>1559038208</v>
      </c>
      <c r="D59" s="2">
        <v>10733821952</v>
      </c>
      <c r="E59">
        <v>13.53</v>
      </c>
      <c r="F59">
        <v>59.53</v>
      </c>
      <c r="G59">
        <v>-2.38</v>
      </c>
      <c r="H59" s="2">
        <v>763591880</v>
      </c>
    </row>
    <row r="60" spans="1:8" x14ac:dyDescent="0.25">
      <c r="A60" t="s">
        <v>238</v>
      </c>
      <c r="B60" t="s">
        <v>239</v>
      </c>
      <c r="C60" s="2">
        <v>1471684352</v>
      </c>
      <c r="D60" s="2">
        <v>10132400128</v>
      </c>
      <c r="E60">
        <v>20.13</v>
      </c>
      <c r="F60">
        <v>24.14</v>
      </c>
      <c r="G60">
        <v>5.39</v>
      </c>
      <c r="H60" s="2">
        <v>6108204928</v>
      </c>
    </row>
    <row r="61" spans="1:8" x14ac:dyDescent="0.25">
      <c r="A61" t="s">
        <v>240</v>
      </c>
      <c r="B61" t="s">
        <v>241</v>
      </c>
      <c r="C61" s="2">
        <v>1453908608</v>
      </c>
      <c r="D61" s="2">
        <v>10010015744</v>
      </c>
      <c r="E61">
        <v>7.12</v>
      </c>
      <c r="F61" t="s">
        <v>165</v>
      </c>
      <c r="G61">
        <v>53.12</v>
      </c>
      <c r="H61" s="2">
        <v>1754593168</v>
      </c>
    </row>
    <row r="62" spans="1:8" x14ac:dyDescent="0.25">
      <c r="A62" t="s">
        <v>242</v>
      </c>
      <c r="B62" t="s">
        <v>243</v>
      </c>
      <c r="C62" s="2">
        <v>1442320256</v>
      </c>
      <c r="D62" s="2">
        <v>1880224640</v>
      </c>
      <c r="E62">
        <v>12.61</v>
      </c>
      <c r="F62">
        <v>24.06</v>
      </c>
      <c r="G62">
        <v>-7.21</v>
      </c>
      <c r="H62" s="2">
        <v>750542976</v>
      </c>
    </row>
    <row r="63" spans="1:8" x14ac:dyDescent="0.25">
      <c r="A63" t="s">
        <v>244</v>
      </c>
      <c r="B63" t="s">
        <v>245</v>
      </c>
      <c r="C63" s="2">
        <v>1425776128</v>
      </c>
      <c r="D63" s="2">
        <v>162067972096</v>
      </c>
      <c r="E63" s="2">
        <v>10340</v>
      </c>
      <c r="F63">
        <v>16.8</v>
      </c>
      <c r="G63">
        <v>-0.57999999999999996</v>
      </c>
      <c r="H63" s="2">
        <v>92316000256</v>
      </c>
    </row>
    <row r="64" spans="1:8" x14ac:dyDescent="0.25">
      <c r="A64" t="s">
        <v>246</v>
      </c>
      <c r="B64" t="s">
        <v>247</v>
      </c>
      <c r="C64" s="2">
        <v>1417904128</v>
      </c>
      <c r="D64" s="2">
        <v>9762127872</v>
      </c>
      <c r="E64">
        <v>12.4</v>
      </c>
      <c r="F64">
        <v>31.05</v>
      </c>
      <c r="G64">
        <v>7.17</v>
      </c>
      <c r="H64" s="2">
        <v>2281080608</v>
      </c>
    </row>
    <row r="65" spans="1:8" x14ac:dyDescent="0.25">
      <c r="A65" t="s">
        <v>248</v>
      </c>
      <c r="B65" t="s">
        <v>249</v>
      </c>
      <c r="C65" s="2">
        <v>1410580736</v>
      </c>
      <c r="D65" s="2">
        <v>43475509248</v>
      </c>
      <c r="E65">
        <v>14.95</v>
      </c>
      <c r="F65" t="s">
        <v>165</v>
      </c>
      <c r="G65">
        <v>12.41</v>
      </c>
      <c r="H65" s="2">
        <v>42602304512</v>
      </c>
    </row>
    <row r="66" spans="1:8" x14ac:dyDescent="0.25">
      <c r="A66" t="s">
        <v>250</v>
      </c>
      <c r="B66" t="s">
        <v>251</v>
      </c>
      <c r="C66" s="2">
        <v>1397952640</v>
      </c>
      <c r="D66" s="2">
        <v>9624764416</v>
      </c>
      <c r="E66">
        <v>44.53</v>
      </c>
      <c r="F66">
        <v>36.479999999999997</v>
      </c>
      <c r="G66">
        <v>-18.440000000000001</v>
      </c>
      <c r="H66" s="2">
        <v>2307837952</v>
      </c>
    </row>
    <row r="67" spans="1:8" x14ac:dyDescent="0.25">
      <c r="A67" t="s">
        <v>252</v>
      </c>
      <c r="B67" t="s">
        <v>253</v>
      </c>
      <c r="C67" s="2">
        <v>1389108352</v>
      </c>
      <c r="D67" s="2">
        <v>9563872256</v>
      </c>
      <c r="E67">
        <v>11.14</v>
      </c>
      <c r="F67">
        <v>25.34</v>
      </c>
      <c r="G67">
        <v>19.14</v>
      </c>
      <c r="H67" s="2">
        <v>3489151424</v>
      </c>
    </row>
    <row r="68" spans="1:8" x14ac:dyDescent="0.25">
      <c r="A68" t="s">
        <v>254</v>
      </c>
      <c r="B68" t="s">
        <v>255</v>
      </c>
      <c r="C68" s="2">
        <v>1382561024</v>
      </c>
      <c r="D68" s="2">
        <v>48455999488</v>
      </c>
      <c r="E68">
        <v>2.4</v>
      </c>
      <c r="F68">
        <v>480</v>
      </c>
      <c r="G68">
        <v>-2.44</v>
      </c>
      <c r="H68" s="2">
        <v>28882591744</v>
      </c>
    </row>
    <row r="69" spans="1:8" x14ac:dyDescent="0.25">
      <c r="A69" t="s">
        <v>256</v>
      </c>
      <c r="B69" t="s">
        <v>257</v>
      </c>
      <c r="C69" s="2">
        <v>1349072896</v>
      </c>
      <c r="D69" s="2">
        <v>9288231936</v>
      </c>
      <c r="E69">
        <v>23.08</v>
      </c>
      <c r="F69">
        <v>46.61</v>
      </c>
      <c r="G69">
        <v>-4.1100000000000003</v>
      </c>
      <c r="H69" s="2">
        <v>1059660288</v>
      </c>
    </row>
    <row r="70" spans="1:8" x14ac:dyDescent="0.25">
      <c r="A70" t="s">
        <v>258</v>
      </c>
      <c r="B70" t="s">
        <v>259</v>
      </c>
      <c r="C70" s="2">
        <v>1312018944</v>
      </c>
      <c r="D70" s="2">
        <v>9033119744</v>
      </c>
      <c r="E70">
        <v>12.13</v>
      </c>
      <c r="F70">
        <v>48.15</v>
      </c>
      <c r="G70">
        <v>-1.62</v>
      </c>
      <c r="H70" s="2">
        <v>3411423104</v>
      </c>
    </row>
    <row r="71" spans="1:8" x14ac:dyDescent="0.25">
      <c r="A71" t="s">
        <v>260</v>
      </c>
      <c r="B71" t="s">
        <v>261</v>
      </c>
      <c r="C71" s="2">
        <v>1311257216</v>
      </c>
      <c r="D71" s="2">
        <v>149050605568</v>
      </c>
      <c r="E71" s="2">
        <v>1099</v>
      </c>
      <c r="F71">
        <v>14.84</v>
      </c>
      <c r="G71">
        <v>-2.57</v>
      </c>
      <c r="H71" s="2">
        <v>177709002752</v>
      </c>
    </row>
    <row r="72" spans="1:8" x14ac:dyDescent="0.25">
      <c r="A72" t="s">
        <v>262</v>
      </c>
      <c r="B72" t="s">
        <v>263</v>
      </c>
      <c r="C72" s="2">
        <v>1290154496</v>
      </c>
      <c r="D72" s="2">
        <v>17240334270464</v>
      </c>
      <c r="E72" s="2">
        <v>2470</v>
      </c>
      <c r="F72">
        <v>13.98</v>
      </c>
      <c r="G72">
        <v>68.599999999999994</v>
      </c>
      <c r="H72" s="2">
        <v>1667697024</v>
      </c>
    </row>
    <row r="73" spans="1:8" x14ac:dyDescent="0.25">
      <c r="A73" t="s">
        <v>264</v>
      </c>
      <c r="B73" t="s">
        <v>265</v>
      </c>
      <c r="C73" s="2">
        <v>1281298560</v>
      </c>
      <c r="D73" s="2">
        <v>8821612544</v>
      </c>
      <c r="E73">
        <v>5.85</v>
      </c>
      <c r="F73" t="s">
        <v>165</v>
      </c>
      <c r="G73">
        <v>-15.22</v>
      </c>
      <c r="H73" s="2">
        <v>542045000</v>
      </c>
    </row>
    <row r="74" spans="1:8" x14ac:dyDescent="0.25">
      <c r="A74" t="s">
        <v>266</v>
      </c>
      <c r="B74" t="s">
        <v>267</v>
      </c>
      <c r="C74" s="2">
        <v>1279162752</v>
      </c>
      <c r="D74" s="2">
        <v>8806907904</v>
      </c>
      <c r="E74">
        <v>10.75</v>
      </c>
      <c r="F74" t="s">
        <v>165</v>
      </c>
      <c r="G74">
        <v>11.51</v>
      </c>
      <c r="H74" s="2">
        <v>4340857024</v>
      </c>
    </row>
    <row r="75" spans="1:8" x14ac:dyDescent="0.25">
      <c r="A75" t="s">
        <v>268</v>
      </c>
      <c r="B75" t="s">
        <v>269</v>
      </c>
      <c r="C75" s="2">
        <v>1273862912</v>
      </c>
      <c r="D75" s="2">
        <v>9886704640</v>
      </c>
      <c r="E75">
        <v>7.69</v>
      </c>
      <c r="F75">
        <v>34.39</v>
      </c>
      <c r="G75">
        <v>4.91</v>
      </c>
      <c r="H75" s="2">
        <v>2431151808</v>
      </c>
    </row>
    <row r="76" spans="1:8" x14ac:dyDescent="0.25">
      <c r="A76" t="s">
        <v>270</v>
      </c>
      <c r="B76" t="s">
        <v>271</v>
      </c>
      <c r="C76" s="2">
        <v>1253952128</v>
      </c>
      <c r="D76" s="2">
        <v>5590996480</v>
      </c>
      <c r="E76">
        <v>6.58</v>
      </c>
      <c r="F76">
        <v>64.459999999999994</v>
      </c>
      <c r="G76">
        <v>-8.48</v>
      </c>
      <c r="H76" s="2">
        <v>2634137984</v>
      </c>
    </row>
    <row r="77" spans="1:8" x14ac:dyDescent="0.25">
      <c r="A77" t="s">
        <v>272</v>
      </c>
      <c r="B77" t="s">
        <v>273</v>
      </c>
      <c r="C77" s="2">
        <v>1252694656</v>
      </c>
      <c r="D77" s="2">
        <v>8624677888</v>
      </c>
      <c r="E77">
        <v>17.16</v>
      </c>
      <c r="F77">
        <v>34.53</v>
      </c>
      <c r="G77">
        <v>17.7</v>
      </c>
      <c r="H77" s="2">
        <v>1020815744</v>
      </c>
    </row>
    <row r="78" spans="1:8" x14ac:dyDescent="0.25">
      <c r="A78" t="s">
        <v>274</v>
      </c>
      <c r="B78" t="s">
        <v>275</v>
      </c>
      <c r="C78" s="2">
        <v>1245232128</v>
      </c>
      <c r="D78" s="2">
        <v>8573299200</v>
      </c>
      <c r="E78">
        <v>26.42</v>
      </c>
      <c r="F78">
        <v>87.85</v>
      </c>
      <c r="G78">
        <v>-11.87</v>
      </c>
      <c r="H78" s="2">
        <v>2030383232</v>
      </c>
    </row>
    <row r="79" spans="1:8" x14ac:dyDescent="0.25">
      <c r="A79" t="s">
        <v>276</v>
      </c>
      <c r="B79" t="s">
        <v>277</v>
      </c>
      <c r="C79" s="2">
        <v>1203827840</v>
      </c>
      <c r="D79" s="2">
        <v>9343149056</v>
      </c>
      <c r="E79">
        <v>1.9</v>
      </c>
      <c r="F79" t="s">
        <v>165</v>
      </c>
      <c r="G79">
        <v>4.97</v>
      </c>
      <c r="H79" s="2">
        <v>10664121856</v>
      </c>
    </row>
    <row r="80" spans="1:8" x14ac:dyDescent="0.25">
      <c r="A80" t="s">
        <v>278</v>
      </c>
      <c r="B80" t="s">
        <v>279</v>
      </c>
      <c r="C80" s="2">
        <v>1171013120</v>
      </c>
      <c r="D80" s="2">
        <v>1342800658432</v>
      </c>
      <c r="E80" s="2">
        <v>15350</v>
      </c>
      <c r="F80">
        <v>14.58</v>
      </c>
      <c r="G80">
        <v>3.72</v>
      </c>
      <c r="H80" s="2">
        <v>2059717246976</v>
      </c>
    </row>
    <row r="81" spans="1:8" x14ac:dyDescent="0.25">
      <c r="A81" t="s">
        <v>280</v>
      </c>
      <c r="B81" t="s">
        <v>281</v>
      </c>
      <c r="C81" s="2">
        <v>1146911232</v>
      </c>
      <c r="D81" s="2">
        <v>1146911232</v>
      </c>
      <c r="E81">
        <v>0.75</v>
      </c>
      <c r="F81" t="s">
        <v>165</v>
      </c>
      <c r="G81">
        <v>3.87</v>
      </c>
      <c r="H81" s="2">
        <v>2871111680</v>
      </c>
    </row>
    <row r="82" spans="1:8" x14ac:dyDescent="0.25">
      <c r="A82" t="s">
        <v>282</v>
      </c>
      <c r="B82" t="s">
        <v>283</v>
      </c>
      <c r="C82" s="2">
        <v>1138516736</v>
      </c>
      <c r="D82" s="2">
        <v>1305537150976</v>
      </c>
      <c r="E82" s="2">
        <v>42500</v>
      </c>
      <c r="F82">
        <v>7</v>
      </c>
      <c r="G82">
        <v>-4.5999999999999996</v>
      </c>
      <c r="H82" s="2">
        <v>1724100870144</v>
      </c>
    </row>
    <row r="83" spans="1:8" x14ac:dyDescent="0.25">
      <c r="A83" t="s">
        <v>284</v>
      </c>
      <c r="B83" t="s">
        <v>285</v>
      </c>
      <c r="C83" s="2">
        <v>1124437632</v>
      </c>
      <c r="D83" s="2">
        <v>15025860247552</v>
      </c>
      <c r="E83">
        <v>570</v>
      </c>
      <c r="F83">
        <v>16.84</v>
      </c>
      <c r="G83">
        <v>2.7</v>
      </c>
      <c r="H83" s="2">
        <v>4717150208000</v>
      </c>
    </row>
    <row r="84" spans="1:8" x14ac:dyDescent="0.25">
      <c r="A84" t="s">
        <v>286</v>
      </c>
      <c r="B84" t="s">
        <v>287</v>
      </c>
      <c r="C84" s="2">
        <v>1116761984</v>
      </c>
      <c r="D84" s="2">
        <v>7688794624</v>
      </c>
      <c r="E84">
        <v>9.85</v>
      </c>
      <c r="F84">
        <v>543.23</v>
      </c>
      <c r="G84">
        <v>-1.7</v>
      </c>
      <c r="H84" s="2">
        <v>1362212480</v>
      </c>
    </row>
    <row r="85" spans="1:8" x14ac:dyDescent="0.25">
      <c r="A85" t="s">
        <v>288</v>
      </c>
      <c r="B85" t="s">
        <v>289</v>
      </c>
      <c r="C85" s="2">
        <v>1115555072</v>
      </c>
      <c r="D85" s="2">
        <v>1454249984</v>
      </c>
      <c r="E85">
        <v>2.77</v>
      </c>
      <c r="F85" t="s">
        <v>165</v>
      </c>
      <c r="G85">
        <v>-13.44</v>
      </c>
      <c r="H85" t="s">
        <v>165</v>
      </c>
    </row>
    <row r="86" spans="1:8" x14ac:dyDescent="0.25">
      <c r="A86" t="s">
        <v>290</v>
      </c>
      <c r="B86" t="s">
        <v>291</v>
      </c>
      <c r="C86" s="2">
        <v>1108413824</v>
      </c>
      <c r="D86" s="2">
        <v>38847688704</v>
      </c>
      <c r="E86">
        <v>24.8</v>
      </c>
      <c r="F86">
        <v>12.39</v>
      </c>
      <c r="G86">
        <v>30.53</v>
      </c>
      <c r="H86" s="2">
        <v>24037769728</v>
      </c>
    </row>
    <row r="87" spans="1:8" x14ac:dyDescent="0.25">
      <c r="A87" t="s">
        <v>292</v>
      </c>
      <c r="B87" t="s">
        <v>293</v>
      </c>
      <c r="C87" s="2">
        <v>1100283520</v>
      </c>
      <c r="D87" s="2">
        <v>38562738176</v>
      </c>
      <c r="E87">
        <v>1.39</v>
      </c>
      <c r="F87" t="s">
        <v>165</v>
      </c>
      <c r="G87">
        <v>-8.5500000000000007</v>
      </c>
      <c r="H87" s="2">
        <v>2477875840</v>
      </c>
    </row>
    <row r="88" spans="1:8" x14ac:dyDescent="0.25">
      <c r="A88" t="s">
        <v>294</v>
      </c>
      <c r="B88" t="s">
        <v>295</v>
      </c>
      <c r="C88" s="2">
        <v>1070022080</v>
      </c>
      <c r="D88" s="2">
        <v>7366994944</v>
      </c>
      <c r="E88">
        <v>9.85</v>
      </c>
      <c r="F88">
        <v>23.99</v>
      </c>
      <c r="G88">
        <v>20.56</v>
      </c>
      <c r="H88" s="2">
        <v>4824911584</v>
      </c>
    </row>
    <row r="89" spans="1:8" x14ac:dyDescent="0.25">
      <c r="A89" t="s">
        <v>296</v>
      </c>
      <c r="B89" t="s">
        <v>297</v>
      </c>
      <c r="C89" s="2">
        <v>1067026560</v>
      </c>
      <c r="D89" s="2">
        <v>7346371072</v>
      </c>
      <c r="E89">
        <v>21.19</v>
      </c>
      <c r="F89">
        <v>35.93</v>
      </c>
      <c r="G89">
        <v>1.48</v>
      </c>
      <c r="H89" s="2">
        <v>4065129024</v>
      </c>
    </row>
    <row r="90" spans="1:8" x14ac:dyDescent="0.25">
      <c r="A90" t="s">
        <v>298</v>
      </c>
      <c r="B90" t="s">
        <v>299</v>
      </c>
      <c r="C90" s="2">
        <v>1063567616</v>
      </c>
      <c r="D90" s="2">
        <v>7322556928</v>
      </c>
      <c r="E90">
        <v>34.6</v>
      </c>
      <c r="F90">
        <v>28.15</v>
      </c>
      <c r="G90">
        <v>-8.0299999999999994</v>
      </c>
      <c r="H90" s="2">
        <v>1736882304</v>
      </c>
    </row>
    <row r="91" spans="1:8" x14ac:dyDescent="0.25">
      <c r="A91" t="s">
        <v>300</v>
      </c>
      <c r="B91" t="s">
        <v>301</v>
      </c>
      <c r="C91" s="2">
        <v>1057218368</v>
      </c>
      <c r="D91" s="2">
        <v>7278842880</v>
      </c>
      <c r="E91">
        <v>14.59</v>
      </c>
      <c r="F91">
        <v>26.05</v>
      </c>
      <c r="G91">
        <v>-1.42</v>
      </c>
      <c r="H91" s="2">
        <v>7458727936</v>
      </c>
    </row>
    <row r="92" spans="1:8" x14ac:dyDescent="0.25">
      <c r="A92" t="s">
        <v>302</v>
      </c>
      <c r="B92" t="s">
        <v>303</v>
      </c>
      <c r="C92" s="2">
        <v>1035964288</v>
      </c>
      <c r="D92" s="2">
        <v>117758058496</v>
      </c>
      <c r="E92" s="2">
        <v>3155</v>
      </c>
      <c r="F92">
        <v>14.4</v>
      </c>
      <c r="G92">
        <v>9.17</v>
      </c>
      <c r="H92" s="2">
        <v>115210000384</v>
      </c>
    </row>
    <row r="93" spans="1:8" x14ac:dyDescent="0.25">
      <c r="A93" t="s">
        <v>304</v>
      </c>
      <c r="B93" t="s">
        <v>305</v>
      </c>
      <c r="C93" s="2">
        <v>1034040192</v>
      </c>
      <c r="D93" s="2">
        <v>117539348480</v>
      </c>
      <c r="E93">
        <v>547</v>
      </c>
      <c r="F93">
        <v>12.69</v>
      </c>
      <c r="G93">
        <v>0.37</v>
      </c>
      <c r="H93" s="2">
        <v>221289000960</v>
      </c>
    </row>
    <row r="94" spans="1:8" x14ac:dyDescent="0.25">
      <c r="A94" t="s">
        <v>306</v>
      </c>
      <c r="B94" t="s">
        <v>307</v>
      </c>
      <c r="C94" s="2">
        <v>1033810944</v>
      </c>
      <c r="D94" s="2">
        <v>7117685248</v>
      </c>
      <c r="E94">
        <v>7.05</v>
      </c>
      <c r="F94">
        <v>144.91999999999999</v>
      </c>
      <c r="G94">
        <v>5.86</v>
      </c>
      <c r="H94" s="2">
        <v>1173254672</v>
      </c>
    </row>
    <row r="95" spans="1:8" x14ac:dyDescent="0.25">
      <c r="A95" t="s">
        <v>308</v>
      </c>
      <c r="B95" t="s">
        <v>309</v>
      </c>
      <c r="C95" s="2">
        <v>1023464448</v>
      </c>
      <c r="D95" s="2">
        <v>7046450688</v>
      </c>
      <c r="E95">
        <v>4.88</v>
      </c>
      <c r="F95">
        <v>37.74</v>
      </c>
      <c r="G95">
        <v>5.4</v>
      </c>
      <c r="H95" s="2">
        <v>3317299136</v>
      </c>
    </row>
    <row r="96" spans="1:8" x14ac:dyDescent="0.25">
      <c r="A96" t="s">
        <v>310</v>
      </c>
      <c r="B96" t="s">
        <v>311</v>
      </c>
      <c r="C96" s="2">
        <v>1023198528</v>
      </c>
      <c r="D96" s="2">
        <v>7044619776</v>
      </c>
      <c r="E96">
        <v>29.71</v>
      </c>
      <c r="F96">
        <v>42.67</v>
      </c>
      <c r="G96">
        <v>-7.73</v>
      </c>
      <c r="H96" s="2">
        <v>989491456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3"/>
  <sheetViews>
    <sheetView workbookViewId="0"/>
  </sheetViews>
  <sheetFormatPr defaultRowHeight="15" x14ac:dyDescent="0.25"/>
  <cols>
    <col min="1" max="1" width="16" bestFit="1" customWidth="1"/>
    <col min="2" max="2" width="20.42578125" bestFit="1" customWidth="1"/>
    <col min="3" max="3" width="16.42578125" bestFit="1" customWidth="1"/>
    <col min="4" max="4" width="20.140625" bestFit="1" customWidth="1"/>
    <col min="6" max="6" width="7" bestFit="1" customWidth="1"/>
    <col min="7" max="7" width="15.7109375" bestFit="1" customWidth="1"/>
    <col min="8" max="8" width="20.140625" bestFit="1" customWidth="1"/>
  </cols>
  <sheetData>
    <row r="1" spans="1:8" x14ac:dyDescent="0.25">
      <c r="A1" t="str">
        <f>_xll.BEQS("AxJ ICB Coal","cols=8;rows=43")</f>
        <v>Ticker</v>
      </c>
      <c r="B1" t="s">
        <v>4</v>
      </c>
      <c r="C1" t="s">
        <v>5</v>
      </c>
      <c r="D1" t="s">
        <v>120</v>
      </c>
      <c r="E1" t="s">
        <v>6</v>
      </c>
      <c r="F1" t="s">
        <v>7</v>
      </c>
      <c r="G1" t="s">
        <v>8</v>
      </c>
      <c r="H1" t="s">
        <v>9</v>
      </c>
    </row>
    <row r="2" spans="1:8" x14ac:dyDescent="0.25">
      <c r="A2" t="s">
        <v>354</v>
      </c>
      <c r="B2" t="s">
        <v>355</v>
      </c>
      <c r="C2" s="2">
        <v>48301740032</v>
      </c>
      <c r="D2" s="2">
        <v>374879453184</v>
      </c>
      <c r="E2">
        <v>16.38</v>
      </c>
      <c r="F2">
        <v>16.21</v>
      </c>
      <c r="G2">
        <v>12.19</v>
      </c>
      <c r="H2" s="2">
        <v>170426003456</v>
      </c>
    </row>
    <row r="3" spans="1:8" x14ac:dyDescent="0.25">
      <c r="A3" t="s">
        <v>356</v>
      </c>
      <c r="B3" t="s">
        <v>357</v>
      </c>
      <c r="C3" s="2">
        <v>10439715840</v>
      </c>
      <c r="D3" s="2">
        <v>81024720896</v>
      </c>
      <c r="E3">
        <v>4.1900000000000004</v>
      </c>
      <c r="F3" t="s">
        <v>165</v>
      </c>
      <c r="G3">
        <v>13.86</v>
      </c>
      <c r="H3" s="2">
        <v>55825108992</v>
      </c>
    </row>
    <row r="4" spans="1:8" x14ac:dyDescent="0.25">
      <c r="A4" t="s">
        <v>358</v>
      </c>
      <c r="B4" t="s">
        <v>359</v>
      </c>
      <c r="C4" s="2">
        <v>8206364160</v>
      </c>
      <c r="D4" s="2">
        <v>56499998720</v>
      </c>
      <c r="E4">
        <v>5.76</v>
      </c>
      <c r="F4" t="s">
        <v>165</v>
      </c>
      <c r="G4">
        <v>18.760000000000002</v>
      </c>
      <c r="H4" s="2">
        <v>24557223424</v>
      </c>
    </row>
    <row r="5" spans="1:8" x14ac:dyDescent="0.25">
      <c r="A5" t="s">
        <v>360</v>
      </c>
      <c r="B5" t="s">
        <v>361</v>
      </c>
      <c r="C5" s="2">
        <v>6317895680</v>
      </c>
      <c r="D5" s="2">
        <v>49034452992</v>
      </c>
      <c r="E5">
        <v>6.3</v>
      </c>
      <c r="F5">
        <v>54.64</v>
      </c>
      <c r="G5">
        <v>19.09</v>
      </c>
      <c r="H5" s="2">
        <v>94640928768</v>
      </c>
    </row>
    <row r="6" spans="1:8" x14ac:dyDescent="0.25">
      <c r="A6" t="s">
        <v>362</v>
      </c>
      <c r="B6" t="s">
        <v>363</v>
      </c>
      <c r="C6" s="2">
        <v>4297777664</v>
      </c>
      <c r="D6" s="2">
        <v>29589768192</v>
      </c>
      <c r="E6">
        <v>9.6</v>
      </c>
      <c r="F6">
        <v>723.05</v>
      </c>
      <c r="G6">
        <v>13.48</v>
      </c>
      <c r="H6" s="2">
        <v>16983934464</v>
      </c>
    </row>
    <row r="7" spans="1:8" x14ac:dyDescent="0.25">
      <c r="A7" t="s">
        <v>364</v>
      </c>
      <c r="B7" t="s">
        <v>365</v>
      </c>
      <c r="C7" s="2">
        <v>4057188352</v>
      </c>
      <c r="D7" s="2">
        <v>54216206843904</v>
      </c>
      <c r="E7" s="2">
        <v>1695</v>
      </c>
      <c r="F7">
        <v>22.59</v>
      </c>
      <c r="G7">
        <v>0</v>
      </c>
      <c r="H7" s="2">
        <v>2350590016</v>
      </c>
    </row>
    <row r="8" spans="1:8" x14ac:dyDescent="0.25">
      <c r="A8" t="s">
        <v>366</v>
      </c>
      <c r="B8" t="s">
        <v>367</v>
      </c>
      <c r="C8" s="2">
        <v>4053776640</v>
      </c>
      <c r="D8" s="2">
        <v>27909847040</v>
      </c>
      <c r="E8">
        <v>9.6</v>
      </c>
      <c r="F8">
        <v>824.02</v>
      </c>
      <c r="G8">
        <v>19.25</v>
      </c>
      <c r="H8" s="2">
        <v>9537272832</v>
      </c>
    </row>
    <row r="9" spans="1:8" x14ac:dyDescent="0.25">
      <c r="A9" t="s">
        <v>368</v>
      </c>
      <c r="B9" t="s">
        <v>369</v>
      </c>
      <c r="C9" s="2">
        <v>4051987456</v>
      </c>
      <c r="D9" s="2">
        <v>27897528320</v>
      </c>
      <c r="E9">
        <v>12.23</v>
      </c>
      <c r="F9" t="s">
        <v>165</v>
      </c>
      <c r="G9">
        <v>-19.11</v>
      </c>
      <c r="H9" s="2">
        <v>9285450944</v>
      </c>
    </row>
    <row r="10" spans="1:8" x14ac:dyDescent="0.25">
      <c r="A10" t="s">
        <v>370</v>
      </c>
      <c r="B10" t="s">
        <v>371</v>
      </c>
      <c r="C10" s="2">
        <v>3777382912</v>
      </c>
      <c r="D10" s="2">
        <v>26006904832</v>
      </c>
      <c r="E10">
        <v>7.48</v>
      </c>
      <c r="F10">
        <v>60.69</v>
      </c>
      <c r="G10">
        <v>10.98</v>
      </c>
      <c r="H10" s="2">
        <v>11199447808</v>
      </c>
    </row>
    <row r="11" spans="1:8" x14ac:dyDescent="0.25">
      <c r="A11" t="s">
        <v>372</v>
      </c>
      <c r="B11" t="s">
        <v>373</v>
      </c>
      <c r="C11" s="2">
        <v>3483653120</v>
      </c>
      <c r="D11" s="2">
        <v>175262597120</v>
      </c>
      <c r="E11">
        <v>13.2</v>
      </c>
      <c r="F11">
        <v>13.14</v>
      </c>
      <c r="G11">
        <v>-0.45</v>
      </c>
      <c r="H11" s="2">
        <v>56732038144</v>
      </c>
    </row>
    <row r="12" spans="1:8" x14ac:dyDescent="0.25">
      <c r="A12" t="s">
        <v>374</v>
      </c>
      <c r="B12" t="s">
        <v>375</v>
      </c>
      <c r="C12" s="2">
        <v>3429935360</v>
      </c>
      <c r="D12" s="2">
        <v>3429935360</v>
      </c>
      <c r="E12">
        <v>1.1499999999999999</v>
      </c>
      <c r="F12">
        <v>46.35</v>
      </c>
      <c r="G12">
        <v>24.14</v>
      </c>
      <c r="H12" s="2">
        <v>19185126656</v>
      </c>
    </row>
    <row r="13" spans="1:8" x14ac:dyDescent="0.25">
      <c r="A13" t="s">
        <v>376</v>
      </c>
      <c r="B13" t="s">
        <v>377</v>
      </c>
      <c r="C13" s="2">
        <v>3066790400</v>
      </c>
      <c r="D13" s="2">
        <v>3997901824</v>
      </c>
      <c r="E13">
        <v>16.7</v>
      </c>
      <c r="F13">
        <v>26.6</v>
      </c>
      <c r="G13">
        <v>10.38</v>
      </c>
      <c r="H13" s="2">
        <v>568814992</v>
      </c>
    </row>
    <row r="14" spans="1:8" x14ac:dyDescent="0.25">
      <c r="A14" t="s">
        <v>378</v>
      </c>
      <c r="B14" t="s">
        <v>379</v>
      </c>
      <c r="C14" s="2">
        <v>2985596928</v>
      </c>
      <c r="D14" s="2">
        <v>150205382656</v>
      </c>
      <c r="E14">
        <v>141</v>
      </c>
      <c r="F14">
        <v>12.79</v>
      </c>
      <c r="G14">
        <v>8.4600000000000009</v>
      </c>
      <c r="H14" s="2">
        <v>31194388992</v>
      </c>
    </row>
    <row r="15" spans="1:8" x14ac:dyDescent="0.25">
      <c r="A15" t="s">
        <v>380</v>
      </c>
      <c r="B15" t="s">
        <v>381</v>
      </c>
      <c r="C15" s="2">
        <v>2746941696</v>
      </c>
      <c r="D15" s="2">
        <v>96274817024</v>
      </c>
      <c r="E15">
        <v>19.600000000000001</v>
      </c>
      <c r="F15" t="s">
        <v>165</v>
      </c>
      <c r="G15">
        <v>2.08</v>
      </c>
      <c r="H15" s="2">
        <v>77719639040</v>
      </c>
    </row>
    <row r="16" spans="1:8" x14ac:dyDescent="0.25">
      <c r="A16" t="s">
        <v>382</v>
      </c>
      <c r="B16" t="s">
        <v>383</v>
      </c>
      <c r="C16" s="2">
        <v>2483630848</v>
      </c>
      <c r="D16" s="2">
        <v>17099549696</v>
      </c>
      <c r="E16">
        <v>7.3</v>
      </c>
      <c r="F16" t="s">
        <v>165</v>
      </c>
      <c r="G16">
        <v>8.4700000000000006</v>
      </c>
      <c r="H16" s="2">
        <v>15279299328</v>
      </c>
    </row>
    <row r="17" spans="1:8" x14ac:dyDescent="0.25">
      <c r="A17" t="s">
        <v>384</v>
      </c>
      <c r="B17" t="s">
        <v>385</v>
      </c>
      <c r="C17" s="2">
        <v>2360320000</v>
      </c>
      <c r="D17" s="2">
        <v>16250566656</v>
      </c>
      <c r="E17">
        <v>15.2</v>
      </c>
      <c r="F17" t="s">
        <v>165</v>
      </c>
      <c r="G17">
        <v>1.4</v>
      </c>
      <c r="H17" s="2">
        <v>1189366160</v>
      </c>
    </row>
    <row r="18" spans="1:8" x14ac:dyDescent="0.25">
      <c r="A18" t="s">
        <v>386</v>
      </c>
      <c r="B18" t="s">
        <v>387</v>
      </c>
      <c r="C18" s="2">
        <v>2258918912</v>
      </c>
      <c r="D18" s="2">
        <v>2944751616</v>
      </c>
      <c r="E18">
        <v>2.87</v>
      </c>
      <c r="F18">
        <v>17.329999999999998</v>
      </c>
      <c r="G18">
        <v>9.9600000000000009</v>
      </c>
      <c r="H18" s="2">
        <v>1413641984</v>
      </c>
    </row>
    <row r="19" spans="1:8" x14ac:dyDescent="0.25">
      <c r="A19" t="s">
        <v>388</v>
      </c>
      <c r="B19" t="s">
        <v>389</v>
      </c>
      <c r="C19" s="2">
        <v>2129351808</v>
      </c>
      <c r="D19" s="2">
        <v>14660374528</v>
      </c>
      <c r="E19">
        <v>9.23</v>
      </c>
      <c r="F19">
        <v>21.51</v>
      </c>
      <c r="G19">
        <v>7.33</v>
      </c>
      <c r="H19" s="2">
        <v>4958156864</v>
      </c>
    </row>
    <row r="20" spans="1:8" x14ac:dyDescent="0.25">
      <c r="A20" t="s">
        <v>390</v>
      </c>
      <c r="B20" t="s">
        <v>391</v>
      </c>
      <c r="C20" s="2">
        <v>2002437504</v>
      </c>
      <c r="D20" s="2">
        <v>13786582016</v>
      </c>
      <c r="E20">
        <v>8.42</v>
      </c>
      <c r="F20">
        <v>162.66</v>
      </c>
      <c r="G20">
        <v>4.34</v>
      </c>
      <c r="H20" s="2">
        <v>3596828032</v>
      </c>
    </row>
    <row r="21" spans="1:8" x14ac:dyDescent="0.25">
      <c r="A21" t="s">
        <v>392</v>
      </c>
      <c r="B21" t="s">
        <v>393</v>
      </c>
      <c r="C21" s="2">
        <v>1992529920</v>
      </c>
      <c r="D21" s="2">
        <v>13718369280</v>
      </c>
      <c r="E21">
        <v>5.89</v>
      </c>
      <c r="F21" t="s">
        <v>165</v>
      </c>
      <c r="G21">
        <v>20.94</v>
      </c>
      <c r="H21" s="2">
        <v>12664811776</v>
      </c>
    </row>
    <row r="22" spans="1:8" x14ac:dyDescent="0.25">
      <c r="A22" t="s">
        <v>394</v>
      </c>
      <c r="B22" t="s">
        <v>395</v>
      </c>
      <c r="C22" s="2">
        <v>1913931264</v>
      </c>
      <c r="D22" s="2">
        <v>25575863353344</v>
      </c>
      <c r="E22" s="2">
        <v>11100</v>
      </c>
      <c r="F22">
        <v>15.3</v>
      </c>
      <c r="G22">
        <v>-11.2</v>
      </c>
      <c r="H22" s="2">
        <v>13273579913216</v>
      </c>
    </row>
    <row r="23" spans="1:8" x14ac:dyDescent="0.25">
      <c r="A23" t="s">
        <v>396</v>
      </c>
      <c r="B23" t="s">
        <v>397</v>
      </c>
      <c r="C23" s="2">
        <v>1802305664</v>
      </c>
      <c r="D23" s="2">
        <v>12408694784</v>
      </c>
      <c r="E23">
        <v>4.84</v>
      </c>
      <c r="F23" t="s">
        <v>165</v>
      </c>
      <c r="G23">
        <v>2.54</v>
      </c>
      <c r="H23" s="2">
        <v>4781394432</v>
      </c>
    </row>
    <row r="24" spans="1:8" x14ac:dyDescent="0.25">
      <c r="A24" t="s">
        <v>398</v>
      </c>
      <c r="B24" t="s">
        <v>399</v>
      </c>
      <c r="C24" s="2">
        <v>1761603968</v>
      </c>
      <c r="D24" s="2">
        <v>12128466944</v>
      </c>
      <c r="E24">
        <v>17.829999999999998</v>
      </c>
      <c r="F24">
        <v>48.78</v>
      </c>
      <c r="G24">
        <v>15.63</v>
      </c>
      <c r="H24" s="2">
        <v>866888568</v>
      </c>
    </row>
    <row r="25" spans="1:8" x14ac:dyDescent="0.25">
      <c r="A25" t="s">
        <v>400</v>
      </c>
      <c r="B25" t="s">
        <v>401</v>
      </c>
      <c r="C25" s="2">
        <v>1692755200</v>
      </c>
      <c r="D25" s="2">
        <v>11654450176</v>
      </c>
      <c r="E25">
        <v>7.5</v>
      </c>
      <c r="F25">
        <v>56.63</v>
      </c>
      <c r="G25">
        <v>4.9000000000000004</v>
      </c>
      <c r="H25" s="2">
        <v>9692963968</v>
      </c>
    </row>
    <row r="26" spans="1:8" x14ac:dyDescent="0.25">
      <c r="A26" t="s">
        <v>402</v>
      </c>
      <c r="B26" t="s">
        <v>403</v>
      </c>
      <c r="C26" s="2">
        <v>1580131840</v>
      </c>
      <c r="D26" s="2">
        <v>10879049728</v>
      </c>
      <c r="E26">
        <v>6.62</v>
      </c>
      <c r="F26" t="s">
        <v>165</v>
      </c>
      <c r="G26">
        <v>8.35</v>
      </c>
      <c r="H26" s="2">
        <v>5773292672</v>
      </c>
    </row>
    <row r="27" spans="1:8" x14ac:dyDescent="0.25">
      <c r="A27" t="s">
        <v>404</v>
      </c>
      <c r="B27" t="s">
        <v>405</v>
      </c>
      <c r="C27" s="2">
        <v>1546558976</v>
      </c>
      <c r="D27" s="2">
        <v>20666667499520</v>
      </c>
      <c r="E27" s="2">
        <v>6200</v>
      </c>
      <c r="F27" t="s">
        <v>165</v>
      </c>
      <c r="G27">
        <v>3.33</v>
      </c>
      <c r="H27" s="2">
        <v>519838720</v>
      </c>
    </row>
    <row r="28" spans="1:8" x14ac:dyDescent="0.25">
      <c r="A28" t="s">
        <v>406</v>
      </c>
      <c r="B28" t="s">
        <v>407</v>
      </c>
      <c r="C28" s="2">
        <v>1497315712</v>
      </c>
      <c r="D28" s="2">
        <v>10308869120</v>
      </c>
      <c r="E28">
        <v>12.5</v>
      </c>
      <c r="F28">
        <v>105.13</v>
      </c>
      <c r="G28">
        <v>-2.72</v>
      </c>
      <c r="H28" s="2">
        <v>393126832</v>
      </c>
    </row>
    <row r="29" spans="1:8" x14ac:dyDescent="0.25">
      <c r="A29" t="s">
        <v>408</v>
      </c>
      <c r="B29" t="s">
        <v>409</v>
      </c>
      <c r="C29" s="2">
        <v>1471796992</v>
      </c>
      <c r="D29" s="2">
        <v>10133175296</v>
      </c>
      <c r="E29">
        <v>7.47</v>
      </c>
      <c r="F29">
        <v>405.06</v>
      </c>
      <c r="G29">
        <v>4.7699999999999996</v>
      </c>
      <c r="H29" s="2">
        <v>1460205120</v>
      </c>
    </row>
    <row r="30" spans="1:8" x14ac:dyDescent="0.25">
      <c r="A30" t="s">
        <v>410</v>
      </c>
      <c r="B30" t="s">
        <v>411</v>
      </c>
      <c r="C30" s="2">
        <v>1338653056</v>
      </c>
      <c r="D30" s="2">
        <v>9216492544</v>
      </c>
      <c r="E30">
        <v>4.09</v>
      </c>
      <c r="F30">
        <v>64.98</v>
      </c>
      <c r="G30">
        <v>7.92</v>
      </c>
      <c r="H30" s="2">
        <v>2880356352</v>
      </c>
    </row>
    <row r="31" spans="1:8" x14ac:dyDescent="0.25">
      <c r="A31" t="s">
        <v>412</v>
      </c>
      <c r="B31" t="s">
        <v>413</v>
      </c>
      <c r="C31" s="2">
        <v>1324108160</v>
      </c>
      <c r="D31" s="2">
        <v>9116352512</v>
      </c>
      <c r="E31">
        <v>8.15</v>
      </c>
      <c r="F31" t="s">
        <v>165</v>
      </c>
      <c r="G31">
        <v>1.37</v>
      </c>
      <c r="H31" s="2">
        <v>3797986880</v>
      </c>
    </row>
    <row r="32" spans="1:8" x14ac:dyDescent="0.25">
      <c r="A32" t="s">
        <v>414</v>
      </c>
      <c r="B32" t="s">
        <v>415</v>
      </c>
      <c r="C32" s="2">
        <v>1310258560</v>
      </c>
      <c r="D32" s="2">
        <v>9020999680</v>
      </c>
      <c r="E32">
        <v>9.93</v>
      </c>
      <c r="F32" t="s">
        <v>165</v>
      </c>
      <c r="G32">
        <v>4.09</v>
      </c>
      <c r="H32" s="2">
        <v>4869063680</v>
      </c>
    </row>
    <row r="33" spans="1:8" x14ac:dyDescent="0.25">
      <c r="A33" t="s">
        <v>416</v>
      </c>
      <c r="B33" t="s">
        <v>417</v>
      </c>
      <c r="C33" s="2">
        <v>1308507776</v>
      </c>
      <c r="D33" s="2">
        <v>17485589905408</v>
      </c>
      <c r="E33" s="2">
        <v>15475</v>
      </c>
      <c r="F33">
        <v>23.65</v>
      </c>
      <c r="G33">
        <v>-8.3000000000000007</v>
      </c>
      <c r="H33" s="2">
        <v>1341303008</v>
      </c>
    </row>
    <row r="34" spans="1:8" x14ac:dyDescent="0.25">
      <c r="A34" t="s">
        <v>418</v>
      </c>
      <c r="B34" t="s">
        <v>419</v>
      </c>
      <c r="C34" s="2">
        <v>1287103488</v>
      </c>
      <c r="D34" s="2">
        <v>8861579264</v>
      </c>
      <c r="E34">
        <v>4.4800000000000004</v>
      </c>
      <c r="F34" t="s">
        <v>165</v>
      </c>
      <c r="G34">
        <v>10.07</v>
      </c>
      <c r="H34" s="2">
        <v>38006284480</v>
      </c>
    </row>
    <row r="35" spans="1:8" x14ac:dyDescent="0.25">
      <c r="A35" t="s">
        <v>420</v>
      </c>
      <c r="B35" t="s">
        <v>421</v>
      </c>
      <c r="C35" s="2">
        <v>1276571392</v>
      </c>
      <c r="D35" s="2">
        <v>17058823667712</v>
      </c>
      <c r="E35" s="2">
        <v>2900</v>
      </c>
      <c r="F35">
        <v>74.989999999999995</v>
      </c>
      <c r="G35">
        <v>7.41</v>
      </c>
      <c r="H35" s="2">
        <v>384918264</v>
      </c>
    </row>
    <row r="36" spans="1:8" x14ac:dyDescent="0.25">
      <c r="A36" t="s">
        <v>422</v>
      </c>
      <c r="B36" t="s">
        <v>423</v>
      </c>
      <c r="C36" s="2">
        <v>1243056640</v>
      </c>
      <c r="D36" s="2">
        <v>8558320640</v>
      </c>
      <c r="E36">
        <v>11.04</v>
      </c>
      <c r="F36" t="s">
        <v>165</v>
      </c>
      <c r="G36">
        <v>6.36</v>
      </c>
      <c r="H36" s="2">
        <v>795706816</v>
      </c>
    </row>
    <row r="37" spans="1:8" x14ac:dyDescent="0.25">
      <c r="A37" t="s">
        <v>424</v>
      </c>
      <c r="B37" t="s">
        <v>425</v>
      </c>
      <c r="C37" s="2">
        <v>1213087744</v>
      </c>
      <c r="D37" s="2">
        <v>8351988224</v>
      </c>
      <c r="E37">
        <v>7.19</v>
      </c>
      <c r="F37" t="s">
        <v>165</v>
      </c>
      <c r="G37">
        <v>7.63</v>
      </c>
      <c r="H37" s="2">
        <v>5148310656</v>
      </c>
    </row>
    <row r="38" spans="1:8" x14ac:dyDescent="0.25">
      <c r="A38" t="s">
        <v>426</v>
      </c>
      <c r="B38" t="s">
        <v>427</v>
      </c>
      <c r="C38" s="2">
        <v>1205072384</v>
      </c>
      <c r="D38" s="2">
        <v>8296802816</v>
      </c>
      <c r="E38">
        <v>11.83</v>
      </c>
      <c r="F38">
        <v>28.99</v>
      </c>
      <c r="G38">
        <v>8.93</v>
      </c>
      <c r="H38" s="2">
        <v>4673988096</v>
      </c>
    </row>
    <row r="39" spans="1:8" x14ac:dyDescent="0.25">
      <c r="A39" t="s">
        <v>428</v>
      </c>
      <c r="B39" t="s">
        <v>429</v>
      </c>
      <c r="C39" s="2">
        <v>1163463168</v>
      </c>
      <c r="D39" s="2">
        <v>1516703488</v>
      </c>
      <c r="E39">
        <v>1.83</v>
      </c>
      <c r="F39" t="s">
        <v>165</v>
      </c>
      <c r="G39">
        <v>10.27</v>
      </c>
      <c r="H39" s="2">
        <v>513596992</v>
      </c>
    </row>
    <row r="40" spans="1:8" x14ac:dyDescent="0.25">
      <c r="A40" t="s">
        <v>430</v>
      </c>
      <c r="B40" t="s">
        <v>431</v>
      </c>
      <c r="C40" s="2">
        <v>1120318336</v>
      </c>
      <c r="D40" s="2">
        <v>8695014400</v>
      </c>
      <c r="E40">
        <v>1.64</v>
      </c>
      <c r="F40" t="s">
        <v>165</v>
      </c>
      <c r="G40">
        <v>7.89</v>
      </c>
      <c r="H40" s="2">
        <v>1581982016</v>
      </c>
    </row>
    <row r="41" spans="1:8" x14ac:dyDescent="0.25">
      <c r="A41" t="s">
        <v>432</v>
      </c>
      <c r="B41" t="s">
        <v>433</v>
      </c>
      <c r="C41" s="2">
        <v>1070462912</v>
      </c>
      <c r="D41" s="2">
        <v>7370030080</v>
      </c>
      <c r="E41">
        <v>7.56</v>
      </c>
      <c r="F41" t="s">
        <v>165</v>
      </c>
      <c r="G41">
        <v>20.57</v>
      </c>
      <c r="H41" s="2">
        <v>3315393376</v>
      </c>
    </row>
    <row r="42" spans="1:8" x14ac:dyDescent="0.25">
      <c r="A42" t="s">
        <v>434</v>
      </c>
      <c r="B42" t="s">
        <v>435</v>
      </c>
      <c r="C42" s="2">
        <v>1041552576</v>
      </c>
      <c r="D42" s="2">
        <v>13918267244544</v>
      </c>
      <c r="E42">
        <v>380</v>
      </c>
      <c r="F42" t="s">
        <v>165</v>
      </c>
      <c r="G42">
        <v>36.69</v>
      </c>
      <c r="H42" s="2">
        <v>25084960</v>
      </c>
    </row>
    <row r="43" spans="1:8" x14ac:dyDescent="0.25">
      <c r="A43" t="s">
        <v>436</v>
      </c>
      <c r="B43" t="s">
        <v>437</v>
      </c>
      <c r="C43" s="2">
        <v>1007902528</v>
      </c>
      <c r="D43" s="2">
        <v>6939308032</v>
      </c>
      <c r="E43">
        <v>3.96</v>
      </c>
      <c r="F43" t="s">
        <v>165</v>
      </c>
      <c r="G43">
        <v>3.13</v>
      </c>
      <c r="H43" s="2">
        <v>15937254144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1" max="1" width="16" bestFit="1" customWidth="1"/>
    <col min="2" max="2" width="19" bestFit="1" customWidth="1"/>
    <col min="3" max="3" width="16.42578125" bestFit="1" customWidth="1"/>
    <col min="4" max="4" width="19.140625" bestFit="1" customWidth="1"/>
    <col min="6" max="6" width="6" bestFit="1" customWidth="1"/>
    <col min="7" max="7" width="15.7109375" bestFit="1" customWidth="1"/>
    <col min="8" max="8" width="20.140625" bestFit="1" customWidth="1"/>
  </cols>
  <sheetData>
    <row r="1" spans="1:8" x14ac:dyDescent="0.25">
      <c r="A1" t="str">
        <f>_xll.BEQS("AxJ ICB Airlines","cols=8;rows=22")</f>
        <v>Ticker</v>
      </c>
      <c r="B1" t="s">
        <v>4</v>
      </c>
      <c r="C1" t="s">
        <v>5</v>
      </c>
      <c r="D1" t="s">
        <v>120</v>
      </c>
      <c r="E1" t="s">
        <v>6</v>
      </c>
      <c r="F1" t="s">
        <v>7</v>
      </c>
      <c r="G1" t="s">
        <v>8</v>
      </c>
      <c r="H1" t="s">
        <v>9</v>
      </c>
    </row>
    <row r="2" spans="1:8" x14ac:dyDescent="0.25">
      <c r="A2" t="s">
        <v>312</v>
      </c>
      <c r="B2" t="s">
        <v>313</v>
      </c>
      <c r="C2" s="2">
        <v>12784782336</v>
      </c>
      <c r="D2" s="2">
        <v>88021950464</v>
      </c>
      <c r="E2">
        <v>7.87</v>
      </c>
      <c r="F2">
        <v>10.25</v>
      </c>
      <c r="G2">
        <v>9.31</v>
      </c>
      <c r="H2" s="2">
        <v>106071224320</v>
      </c>
    </row>
    <row r="3" spans="1:8" x14ac:dyDescent="0.25">
      <c r="A3" t="s">
        <v>314</v>
      </c>
      <c r="B3" t="s">
        <v>315</v>
      </c>
      <c r="C3" s="2">
        <v>12368148480</v>
      </c>
      <c r="D3" s="2">
        <v>95991676928</v>
      </c>
      <c r="E3">
        <v>4.28</v>
      </c>
      <c r="F3">
        <v>11.67</v>
      </c>
      <c r="G3">
        <v>20.56</v>
      </c>
      <c r="H3" s="2">
        <v>95933001728</v>
      </c>
    </row>
    <row r="4" spans="1:8" x14ac:dyDescent="0.25">
      <c r="A4" t="s">
        <v>316</v>
      </c>
      <c r="B4" t="s">
        <v>317</v>
      </c>
      <c r="C4" s="2">
        <v>11678514176</v>
      </c>
      <c r="D4" s="2">
        <v>1327496691712</v>
      </c>
      <c r="E4" s="2">
        <v>3660</v>
      </c>
      <c r="F4">
        <v>9.58</v>
      </c>
      <c r="G4">
        <v>7.17</v>
      </c>
      <c r="H4" s="2">
        <v>1288736997376</v>
      </c>
    </row>
    <row r="5" spans="1:8" x14ac:dyDescent="0.25">
      <c r="A5" t="s">
        <v>318</v>
      </c>
      <c r="B5" t="s">
        <v>319</v>
      </c>
      <c r="C5" s="2">
        <v>10128244736</v>
      </c>
      <c r="D5" s="2">
        <v>1151277596672</v>
      </c>
      <c r="E5">
        <v>327.39999999999998</v>
      </c>
      <c r="F5">
        <v>12.57</v>
      </c>
      <c r="G5">
        <v>4</v>
      </c>
      <c r="H5" s="2">
        <v>1753933053952</v>
      </c>
    </row>
    <row r="6" spans="1:8" x14ac:dyDescent="0.25">
      <c r="A6" t="s">
        <v>320</v>
      </c>
      <c r="B6" t="s">
        <v>321</v>
      </c>
      <c r="C6" s="2">
        <v>9383052288</v>
      </c>
      <c r="D6" s="2">
        <v>72823742464</v>
      </c>
      <c r="E6">
        <v>5.04</v>
      </c>
      <c r="F6">
        <v>13.02</v>
      </c>
      <c r="G6">
        <v>25.06</v>
      </c>
      <c r="H6" s="2">
        <v>112411996160</v>
      </c>
    </row>
    <row r="7" spans="1:8" x14ac:dyDescent="0.25">
      <c r="A7" t="s">
        <v>322</v>
      </c>
      <c r="B7" t="s">
        <v>323</v>
      </c>
      <c r="C7" s="2">
        <v>8314566656</v>
      </c>
      <c r="D7" s="2">
        <v>8314566656</v>
      </c>
      <c r="E7">
        <v>0.61</v>
      </c>
      <c r="F7">
        <v>13.68</v>
      </c>
      <c r="G7">
        <v>0.82</v>
      </c>
      <c r="H7" s="2">
        <v>39329296384</v>
      </c>
    </row>
    <row r="8" spans="1:8" x14ac:dyDescent="0.25">
      <c r="A8" t="s">
        <v>324</v>
      </c>
      <c r="B8" t="s">
        <v>325</v>
      </c>
      <c r="C8" s="2">
        <v>8183657472</v>
      </c>
      <c r="D8" s="2">
        <v>11625704448</v>
      </c>
      <c r="E8">
        <v>9.85</v>
      </c>
      <c r="F8">
        <v>16.05</v>
      </c>
      <c r="G8">
        <v>1.86</v>
      </c>
      <c r="H8" s="2">
        <v>14857900032</v>
      </c>
    </row>
    <row r="9" spans="1:8" x14ac:dyDescent="0.25">
      <c r="A9" t="s">
        <v>326</v>
      </c>
      <c r="B9" t="s">
        <v>327</v>
      </c>
      <c r="C9" s="2">
        <v>5646424064</v>
      </c>
      <c r="D9" s="2">
        <v>43823026176</v>
      </c>
      <c r="E9">
        <v>11.18</v>
      </c>
      <c r="F9">
        <v>10.220000000000001</v>
      </c>
      <c r="G9">
        <v>9.61</v>
      </c>
      <c r="H9" s="2">
        <v>97636999168</v>
      </c>
    </row>
    <row r="10" spans="1:8" x14ac:dyDescent="0.25">
      <c r="A10" t="s">
        <v>328</v>
      </c>
      <c r="B10" t="s">
        <v>329</v>
      </c>
      <c r="C10" s="2">
        <v>4890571776</v>
      </c>
      <c r="D10" s="2">
        <v>6375403520</v>
      </c>
      <c r="E10">
        <v>3.48</v>
      </c>
      <c r="F10">
        <v>7.09</v>
      </c>
      <c r="G10">
        <v>4.5</v>
      </c>
      <c r="H10" s="2">
        <v>16200000000</v>
      </c>
    </row>
    <row r="11" spans="1:8" x14ac:dyDescent="0.25">
      <c r="A11" t="s">
        <v>330</v>
      </c>
      <c r="B11" t="s">
        <v>331</v>
      </c>
      <c r="C11" s="2">
        <v>4433405952</v>
      </c>
      <c r="D11" s="2">
        <v>30523557888</v>
      </c>
      <c r="E11">
        <v>23.8</v>
      </c>
      <c r="F11">
        <v>18.260000000000002</v>
      </c>
      <c r="G11">
        <v>2.15</v>
      </c>
      <c r="H11" s="2">
        <v>9041470976</v>
      </c>
    </row>
    <row r="12" spans="1:8" x14ac:dyDescent="0.25">
      <c r="A12" t="s">
        <v>332</v>
      </c>
      <c r="B12" t="s">
        <v>333</v>
      </c>
      <c r="C12" s="2">
        <v>4304706048</v>
      </c>
      <c r="D12" s="2">
        <v>29637472256</v>
      </c>
      <c r="E12">
        <v>37.17</v>
      </c>
      <c r="F12">
        <v>20.7</v>
      </c>
      <c r="G12">
        <v>1.17</v>
      </c>
      <c r="H12" s="2">
        <v>8077496576</v>
      </c>
    </row>
    <row r="13" spans="1:8" x14ac:dyDescent="0.25">
      <c r="A13" t="s">
        <v>334</v>
      </c>
      <c r="B13" t="s">
        <v>335</v>
      </c>
      <c r="C13" s="2">
        <v>2626321664</v>
      </c>
      <c r="D13" s="2">
        <v>132130242560</v>
      </c>
      <c r="E13">
        <v>5.32</v>
      </c>
      <c r="F13">
        <v>61.15</v>
      </c>
      <c r="G13">
        <v>3.1</v>
      </c>
      <c r="H13" s="2">
        <v>105789628416</v>
      </c>
    </row>
    <row r="14" spans="1:8" x14ac:dyDescent="0.25">
      <c r="A14" t="s">
        <v>336</v>
      </c>
      <c r="B14" t="s">
        <v>337</v>
      </c>
      <c r="C14" s="2">
        <v>2077152000</v>
      </c>
      <c r="D14" s="2">
        <v>64019898368</v>
      </c>
      <c r="E14">
        <v>15.8</v>
      </c>
      <c r="F14">
        <v>12.25</v>
      </c>
      <c r="G14">
        <v>8.2200000000000006</v>
      </c>
      <c r="H14" s="2">
        <v>143354990592</v>
      </c>
    </row>
    <row r="15" spans="1:8" x14ac:dyDescent="0.25">
      <c r="A15" t="s">
        <v>338</v>
      </c>
      <c r="B15" t="s">
        <v>339</v>
      </c>
      <c r="C15" s="2">
        <v>1971230976</v>
      </c>
      <c r="D15" s="2">
        <v>8789128192</v>
      </c>
      <c r="E15">
        <v>2.63</v>
      </c>
      <c r="F15">
        <v>3.51</v>
      </c>
      <c r="G15">
        <v>14.85</v>
      </c>
      <c r="H15" s="2">
        <v>7177287936</v>
      </c>
    </row>
    <row r="16" spans="1:8" x14ac:dyDescent="0.25">
      <c r="A16" t="s">
        <v>340</v>
      </c>
      <c r="B16" t="s">
        <v>341</v>
      </c>
      <c r="C16" s="2">
        <v>1811643776</v>
      </c>
      <c r="D16" s="2">
        <v>2077411770368</v>
      </c>
      <c r="E16" s="2">
        <v>26750</v>
      </c>
      <c r="F16">
        <v>6.72</v>
      </c>
      <c r="G16">
        <v>4.03</v>
      </c>
      <c r="H16" s="2">
        <v>11724464848896</v>
      </c>
    </row>
    <row r="17" spans="1:8" x14ac:dyDescent="0.25">
      <c r="A17" t="s">
        <v>342</v>
      </c>
      <c r="B17" t="s">
        <v>343</v>
      </c>
      <c r="C17" s="2">
        <v>1762627456</v>
      </c>
      <c r="D17" s="2">
        <v>54325940224</v>
      </c>
      <c r="E17">
        <v>9.93</v>
      </c>
      <c r="F17">
        <v>22.01</v>
      </c>
      <c r="G17">
        <v>6.77</v>
      </c>
      <c r="H17" s="2">
        <v>140568778752</v>
      </c>
    </row>
    <row r="18" spans="1:8" x14ac:dyDescent="0.25">
      <c r="A18" t="s">
        <v>344</v>
      </c>
      <c r="B18" t="s">
        <v>345</v>
      </c>
      <c r="C18" s="2">
        <v>1711127296</v>
      </c>
      <c r="D18" s="2">
        <v>2391512576</v>
      </c>
      <c r="E18">
        <v>2.13</v>
      </c>
      <c r="F18">
        <v>5.24</v>
      </c>
      <c r="G18">
        <v>-2.96</v>
      </c>
      <c r="H18" s="2">
        <v>5230999808</v>
      </c>
    </row>
    <row r="19" spans="1:8" x14ac:dyDescent="0.25">
      <c r="A19" t="s">
        <v>346</v>
      </c>
      <c r="B19" t="s">
        <v>347</v>
      </c>
      <c r="C19" s="2">
        <v>1345237248</v>
      </c>
      <c r="D19" s="2">
        <v>47147876352</v>
      </c>
      <c r="E19">
        <v>21.5</v>
      </c>
      <c r="F19">
        <v>7.26</v>
      </c>
      <c r="G19">
        <v>-5.29</v>
      </c>
      <c r="H19" s="2">
        <v>180066926592</v>
      </c>
    </row>
    <row r="20" spans="1:8" x14ac:dyDescent="0.25">
      <c r="A20" t="s">
        <v>348</v>
      </c>
      <c r="B20" t="s">
        <v>349</v>
      </c>
      <c r="C20" s="2">
        <v>1276249728</v>
      </c>
      <c r="D20" s="2">
        <v>44729999360</v>
      </c>
      <c r="E20">
        <v>21.2</v>
      </c>
      <c r="F20">
        <v>20.18</v>
      </c>
      <c r="G20">
        <v>-6.61</v>
      </c>
      <c r="H20" s="2">
        <v>24648545792</v>
      </c>
    </row>
    <row r="21" spans="1:8" x14ac:dyDescent="0.25">
      <c r="A21" t="s">
        <v>350</v>
      </c>
      <c r="B21" t="s">
        <v>351</v>
      </c>
      <c r="C21" s="2">
        <v>1232762368</v>
      </c>
      <c r="D21" s="2">
        <v>1607042688</v>
      </c>
      <c r="E21">
        <v>0.19</v>
      </c>
      <c r="F21" t="s">
        <v>165</v>
      </c>
      <c r="G21">
        <v>-19.149999999999999</v>
      </c>
      <c r="H21" s="2">
        <v>4963200000</v>
      </c>
    </row>
    <row r="22" spans="1:8" x14ac:dyDescent="0.25">
      <c r="A22" t="s">
        <v>352</v>
      </c>
      <c r="B22" t="s">
        <v>353</v>
      </c>
      <c r="C22" s="2">
        <v>1132172672</v>
      </c>
      <c r="D22" s="2">
        <v>56959610880</v>
      </c>
      <c r="E22">
        <v>94</v>
      </c>
      <c r="F22">
        <v>7.14</v>
      </c>
      <c r="G22">
        <v>1.08</v>
      </c>
      <c r="H22" s="2">
        <v>60933639168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Name</vt:lpstr>
      <vt:lpstr>Iron Steel</vt:lpstr>
      <vt:lpstr>Building Material</vt:lpstr>
      <vt:lpstr>Coal</vt:lpstr>
      <vt:lpstr>Airlines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Bloomberg</cp:lastModifiedBy>
  <dcterms:created xsi:type="dcterms:W3CDTF">2017-02-14T02:19:18Z</dcterms:created>
  <dcterms:modified xsi:type="dcterms:W3CDTF">2017-02-24T09:38:54Z</dcterms:modified>
</cp:coreProperties>
</file>